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acer\OneDrive\Documents\Watershed\Tasklist\"/>
    </mc:Choice>
  </mc:AlternateContent>
  <xr:revisionPtr revIDLastSave="0" documentId="8_{4E0A596F-E5C1-43CD-AB38-18DBDD1624E3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Pre-work" sheetId="1" r:id="rId1"/>
    <sheet name="TKI Chart" sheetId="2" r:id="rId2"/>
    <sheet name="Pre-work - Attendees only" sheetId="3" r:id="rId3"/>
    <sheet name="TKI Chart- Attendees only" sheetId="4" r:id="rId4"/>
  </sheets>
  <definedNames>
    <definedName name="_xlnm._FilterDatabase" localSheetId="1" hidden="1">'TKI Chart'!$A$4:$C$8</definedName>
    <definedName name="_xlnm._FilterDatabase" localSheetId="3" hidden="1">'TKI Chart- Attendees only'!$A$4:$C$8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C4" i="4"/>
  <c r="C10" i="4" s="1"/>
  <c r="B10" i="4"/>
  <c r="C4" i="2"/>
  <c r="C8" i="2"/>
  <c r="C6" i="2"/>
  <c r="C5" i="2"/>
  <c r="B4" i="2"/>
  <c r="B7" i="2"/>
  <c r="B6" i="2"/>
  <c r="B5" i="2"/>
  <c r="C7" i="2" l="1"/>
  <c r="B8" i="2"/>
  <c r="C10" i="2" l="1"/>
  <c r="B10" i="2"/>
</calcChain>
</file>

<file path=xl/sharedStrings.xml><?xml version="1.0" encoding="utf-8"?>
<sst xmlns="http://schemas.openxmlformats.org/spreadsheetml/2006/main" count="185" uniqueCount="52">
  <si>
    <t>Client</t>
  </si>
  <si>
    <t>MDT CORE Best Negotiating Practices - Aug 22 &amp; 24, 2023</t>
  </si>
  <si>
    <t>TKI and Pre-Work Tracking</t>
  </si>
  <si>
    <r>
      <rPr>
        <b/>
        <sz val="12"/>
        <color rgb="FFFF0000"/>
        <rFont val="HelveticaNeue"/>
      </rPr>
      <t>RED</t>
    </r>
    <r>
      <rPr>
        <sz val="12"/>
        <color theme="1"/>
        <rFont val="HelveticaNeue"/>
        <family val="2"/>
      </rPr>
      <t>: cancelled</t>
    </r>
  </si>
  <si>
    <t>Fill out Most and Least in full name according to TKI report</t>
  </si>
  <si>
    <t>Use correct labels for graph to work</t>
  </si>
  <si>
    <t>Upodated:</t>
  </si>
  <si>
    <t xml:space="preserve">Due Date: </t>
  </si>
  <si>
    <t>If a most or least is tied, add the 2nd tied item to the 2nd column, and then offset the other category by duplicating</t>
  </si>
  <si>
    <t>Lables:</t>
  </si>
  <si>
    <t>Competing</t>
  </si>
  <si>
    <t>Collaborating</t>
  </si>
  <si>
    <t>Compromising</t>
  </si>
  <si>
    <t>Avoiding</t>
  </si>
  <si>
    <t>Accommodating</t>
  </si>
  <si>
    <t>#</t>
  </si>
  <si>
    <t>Participant Name</t>
  </si>
  <si>
    <t>Position</t>
  </si>
  <si>
    <t>Email Address</t>
  </si>
  <si>
    <t>TKI - In or sent out date; reminder sent</t>
  </si>
  <si>
    <t>Prework Plan sent out date; reminder sent</t>
  </si>
  <si>
    <t>Most</t>
  </si>
  <si>
    <t>2nd Most (If Tied or to offset tied Least)</t>
  </si>
  <si>
    <t>Least</t>
  </si>
  <si>
    <t>2nd Least (is tied or to offset the tied mosts)</t>
  </si>
  <si>
    <t>Lvls taken</t>
  </si>
  <si>
    <t>Notes</t>
  </si>
  <si>
    <t>ALICIA DELGADO</t>
  </si>
  <si>
    <t>ALISHA CARROLL</t>
  </si>
  <si>
    <t>BILLY BLEM</t>
  </si>
  <si>
    <t>BRANDON BLACK</t>
  </si>
  <si>
    <t>BRIAN SMITH</t>
  </si>
  <si>
    <t>BROCK ALLEN</t>
  </si>
  <si>
    <t>COLE WATSON</t>
  </si>
  <si>
    <t>EMILY FRIEDLANDER</t>
  </si>
  <si>
    <t>JOSHUA DIXON</t>
  </si>
  <si>
    <t>Kashif Javed</t>
  </si>
  <si>
    <t>KATHRYN BLANCHETTE</t>
  </si>
  <si>
    <t>Kristina Hayek</t>
  </si>
  <si>
    <t>MATT BERTHELOT</t>
  </si>
  <si>
    <t>MATT STOCKDALE</t>
  </si>
  <si>
    <t>MATTHEW YOUNGER</t>
  </si>
  <si>
    <t>MEREDITH BERRY</t>
  </si>
  <si>
    <t>Ryan Boyle</t>
  </si>
  <si>
    <t>STEPHEN CHEN</t>
  </si>
  <si>
    <t>STEPHEN GRAY</t>
  </si>
  <si>
    <t>THOMAS ENSLEY</t>
  </si>
  <si>
    <t>TYLER SANEHOLTZ</t>
  </si>
  <si>
    <t>Watershed Associates - Online TKI Results Chart</t>
  </si>
  <si>
    <t>Table fills automatically according to Pre-Work Table results -- this can be overwritten, but please note that the autopopulation allows for easier cross-checking</t>
  </si>
  <si>
    <t>Most used</t>
  </si>
  <si>
    <t>Least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</si>
</sst>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HelveticaNeue"/>
      <family val="2"/>
    </font>
    <font>
      <b/>
      <sz val="26"/>
      <color theme="1"/>
      <name val="Calibri"/>
      <family val="2"/>
      <scheme val="minor"/>
    </font>
    <font>
      <sz val="12"/>
      <color theme="1"/>
      <name val="HelveticaNeue"/>
      <family val="2"/>
    </font>
    <font>
      <b/>
      <sz val="12"/>
      <color theme="0"/>
      <name val="HelveticaNeue"/>
      <family val="2"/>
    </font>
    <font>
      <sz val="12"/>
      <color theme="1"/>
      <name val="Calibri"/>
      <family val="2"/>
    </font>
    <font>
      <sz val="12"/>
      <color theme="1"/>
      <name val="HelveticaNeue"/>
    </font>
    <font>
      <sz val="12"/>
      <color rgb="FFFF0000"/>
      <name val="HelveticaNeue"/>
      <family val="2"/>
    </font>
    <font>
      <b/>
      <sz val="12"/>
      <color rgb="FFFF0000"/>
      <name val="HelveticaNeue"/>
    </font>
    <font>
      <sz val="14"/>
      <color theme="1"/>
      <name val="HelveticaNeue"/>
    </font>
    <font>
      <sz val="12"/>
      <color rgb="FF000000"/>
      <name val="HelveticaNeue"/>
      <family val="2"/>
    </font>
    <font>
      <sz val="11"/>
      <color theme="1"/>
      <name val="HelveticaNeue"/>
      <family val="2"/>
    </font>
    <font>
      <b/>
      <sz val="12"/>
      <color rgb="FFFF0000"/>
      <name val="HelveticaNeue"/>
      <family val="2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3" fillId="4" borderId="3" xfId="0" applyFont="1" applyFill="1" applyBorder="1" applyAlignment="1">
      <alignment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5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10" fillId="0" borderId="0" xfId="0" applyFont="1" applyAlignment="1">
      <alignment horizontal="center"/>
    </xf>
    <xf numFmtId="0" fontId="11" fillId="6" borderId="0" xfId="0" applyFont="1" applyFill="1" applyAlignment="1">
      <alignment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5" borderId="0" xfId="0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HelveticaNeue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HelveticaNeue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423109443534301E-2"/>
          <c:y val="1.8126888217522698E-2"/>
          <c:w val="0.82514374042170902"/>
          <c:h val="0.9526017888540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'TKI Chart'!$B$3</c:f>
              <c:strCache>
                <c:ptCount val="1"/>
                <c:pt idx="0">
                  <c:v>Most used</c:v>
                </c:pt>
              </c:strCache>
            </c:strRef>
          </c:tx>
          <c:invertIfNegative val="0"/>
          <c:cat>
            <c:strRef>
              <c:f>'TKI Chart'!$A$4:$A$8</c:f>
              <c:strCache>
                <c:ptCount val="5"/>
                <c:pt idx="0">
                  <c:v>Accommodating</c:v>
                </c:pt>
                <c:pt idx="1">
                  <c:v>Competing</c:v>
                </c:pt>
                <c:pt idx="2">
                  <c:v>Collaborating</c:v>
                </c:pt>
                <c:pt idx="3">
                  <c:v>Compromising</c:v>
                </c:pt>
                <c:pt idx="4">
                  <c:v>Avoiding</c:v>
                </c:pt>
              </c:strCache>
            </c:strRef>
          </c:cat>
          <c:val>
            <c:numRef>
              <c:f>'TKI Chart'!$B$4:$B$8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5-4FD7-83D5-ECF3009AF713}"/>
            </c:ext>
          </c:extLst>
        </c:ser>
        <c:ser>
          <c:idx val="1"/>
          <c:order val="1"/>
          <c:tx>
            <c:strRef>
              <c:f>'TKI Chart'!$C$3</c:f>
              <c:strCache>
                <c:ptCount val="1"/>
                <c:pt idx="0">
                  <c:v>Least used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'TKI Chart'!$A$4:$A$8</c:f>
              <c:strCache>
                <c:ptCount val="5"/>
                <c:pt idx="0">
                  <c:v>Accommodating</c:v>
                </c:pt>
                <c:pt idx="1">
                  <c:v>Competing</c:v>
                </c:pt>
                <c:pt idx="2">
                  <c:v>Collaborating</c:v>
                </c:pt>
                <c:pt idx="3">
                  <c:v>Compromising</c:v>
                </c:pt>
                <c:pt idx="4">
                  <c:v>Avoiding</c:v>
                </c:pt>
              </c:strCache>
            </c:strRef>
          </c:cat>
          <c:val>
            <c:numRef>
              <c:f>'TKI Chart'!$C$4:$C$8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15-4FD7-83D5-ECF3009AF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8580928"/>
        <c:axId val="1758583248"/>
      </c:barChart>
      <c:catAx>
        <c:axId val="1758580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 b="0"/>
            </a:pPr>
            <a:endParaRPr lang="en-US"/>
          </a:p>
        </c:txPr>
        <c:crossAx val="1758583248"/>
        <c:crosses val="autoZero"/>
        <c:auto val="1"/>
        <c:lblAlgn val="ctr"/>
        <c:lblOffset val="100"/>
        <c:noMultiLvlLbl val="0"/>
      </c:catAx>
      <c:valAx>
        <c:axId val="1758583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175858092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8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423109443534301E-2"/>
          <c:y val="1.8126888217522698E-2"/>
          <c:w val="0.82514374042170902"/>
          <c:h val="0.9526017888540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'TKI Chart- Attendees only'!$B$3</c:f>
              <c:strCache>
                <c:ptCount val="1"/>
                <c:pt idx="0">
                  <c:v>Most used</c:v>
                </c:pt>
              </c:strCache>
            </c:strRef>
          </c:tx>
          <c:invertIfNegative val="0"/>
          <c:cat>
            <c:strRef>
              <c:f>'TKI Chart- Attendees only'!$A$4:$A$8</c:f>
              <c:strCache>
                <c:ptCount val="5"/>
                <c:pt idx="0">
                  <c:v>Accommodating</c:v>
                </c:pt>
                <c:pt idx="1">
                  <c:v>Competing</c:v>
                </c:pt>
                <c:pt idx="2">
                  <c:v>Collaborating</c:v>
                </c:pt>
                <c:pt idx="3">
                  <c:v>Compromising</c:v>
                </c:pt>
                <c:pt idx="4">
                  <c:v>Avoiding</c:v>
                </c:pt>
              </c:strCache>
            </c:strRef>
          </c:cat>
          <c:val>
            <c:numRef>
              <c:f>'TKI Chart- Attendees only'!$B$4:$B$8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5-485B-B825-19C6383CED30}"/>
            </c:ext>
          </c:extLst>
        </c:ser>
        <c:ser>
          <c:idx val="1"/>
          <c:order val="1"/>
          <c:tx>
            <c:strRef>
              <c:f>'TKI Chart- Attendees only'!$C$3</c:f>
              <c:strCache>
                <c:ptCount val="1"/>
                <c:pt idx="0">
                  <c:v>Least used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'TKI Chart- Attendees only'!$A$4:$A$8</c:f>
              <c:strCache>
                <c:ptCount val="5"/>
                <c:pt idx="0">
                  <c:v>Accommodating</c:v>
                </c:pt>
                <c:pt idx="1">
                  <c:v>Competing</c:v>
                </c:pt>
                <c:pt idx="2">
                  <c:v>Collaborating</c:v>
                </c:pt>
                <c:pt idx="3">
                  <c:v>Compromising</c:v>
                </c:pt>
                <c:pt idx="4">
                  <c:v>Avoiding</c:v>
                </c:pt>
              </c:strCache>
            </c:strRef>
          </c:cat>
          <c:val>
            <c:numRef>
              <c:f>'TKI Chart- Attendees only'!$C$4:$C$8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5-485B-B825-19C6383CE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8580928"/>
        <c:axId val="1758583248"/>
      </c:barChart>
      <c:catAx>
        <c:axId val="1758580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 b="0"/>
            </a:pPr>
            <a:endParaRPr lang="en-US"/>
          </a:p>
        </c:txPr>
        <c:crossAx val="1758583248"/>
        <c:crosses val="autoZero"/>
        <c:auto val="1"/>
        <c:lblAlgn val="ctr"/>
        <c:lblOffset val="100"/>
        <c:noMultiLvlLbl val="0"/>
      </c:catAx>
      <c:valAx>
        <c:axId val="1758583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175858092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8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</xdr:row>
      <xdr:rowOff>85725</xdr:rowOff>
    </xdr:from>
    <xdr:to>
      <xdr:col>11</xdr:col>
      <xdr:colOff>276225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</xdr:row>
      <xdr:rowOff>85725</xdr:rowOff>
    </xdr:from>
    <xdr:to>
      <xdr:col>11</xdr:col>
      <xdr:colOff>276225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EB48A-0E41-4EB4-B07D-441BD3429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B5:L27" totalsRowShown="0" headerRowDxfId="25" dataDxfId="24">
  <autoFilter ref="B5:L27" xr:uid="{00000000-0009-0000-0100-000006000000}"/>
  <sortState xmlns:xlrd2="http://schemas.microsoft.com/office/spreadsheetml/2017/richdata2" ref="B6:L27">
    <sortCondition ref="B5:B27"/>
  </sortState>
  <tableColumns count="11">
    <tableColumn id="1" xr3:uid="{00000000-0010-0000-0000-000001000000}" name="Participant Name" dataDxfId="23"/>
    <tableColumn id="2" xr3:uid="{00000000-0010-0000-0000-000002000000}" name="Position" dataDxfId="22"/>
    <tableColumn id="3" xr3:uid="{00000000-0010-0000-0000-000003000000}" name="Email Address" dataDxfId="21"/>
    <tableColumn id="4" xr3:uid="{00000000-0010-0000-0000-000004000000}" name="TKI - In or sent out date; reminder sent" dataDxfId="20"/>
    <tableColumn id="5" xr3:uid="{00000000-0010-0000-0000-000005000000}" name="Prework Plan sent out date; reminder sent" dataDxfId="19"/>
    <tableColumn id="9" xr3:uid="{469B2C78-2C89-624B-B531-BC7A271D8E11}" name="Most" dataDxfId="18"/>
    <tableColumn id="10" xr3:uid="{F851AA3B-7232-8841-ABDE-CBE4ED605DB8}" name="2nd Most (If Tied or to offset tied Least)" dataDxfId="17"/>
    <tableColumn id="8" xr3:uid="{B22A1C2D-23AB-8146-8662-EDCEA039698A}" name="Least" dataDxfId="16"/>
    <tableColumn id="11" xr3:uid="{643D11E2-CF0C-E144-9971-4872C6FC0801}" name="2nd Least (is tied or to offset the tied mosts)" dataDxfId="15"/>
    <tableColumn id="6" xr3:uid="{00000000-0010-0000-0000-000006000000}" name="Lvls taken" dataDxfId="14"/>
    <tableColumn id="7" xr3:uid="{00000000-0010-0000-0000-000007000000}" name="Notes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E6080-0E44-4E60-9BB1-86571938FF3A}" name="Table62" displayName="Table62" ref="B5:L22" totalsRowShown="0" headerRowDxfId="12" dataDxfId="11">
  <autoFilter ref="B5:L22" xr:uid="{00000000-0009-0000-0100-000006000000}"/>
  <sortState xmlns:xlrd2="http://schemas.microsoft.com/office/spreadsheetml/2017/richdata2" ref="B6:L22">
    <sortCondition ref="B5:B22"/>
  </sortState>
  <tableColumns count="11">
    <tableColumn id="1" xr3:uid="{43E6F954-CD24-4560-AE5F-540B8306B20D}" name="Participant Name" dataDxfId="10"/>
    <tableColumn id="2" xr3:uid="{ACB0CB2A-8BB3-4912-A324-990D4CAC5E5D}" name="Position" dataDxfId="9"/>
    <tableColumn id="3" xr3:uid="{78A1DDF4-3DE6-4F7B-A824-87CA9317EA74}" name="Email Address" dataDxfId="8"/>
    <tableColumn id="4" xr3:uid="{2B59F025-63A0-446B-92BF-86733D1C3436}" name="TKI - In or sent out date; reminder sent" dataDxfId="7"/>
    <tableColumn id="5" xr3:uid="{DFF2C8B2-89BF-4EAF-8DEB-09CDF64197AD}" name="Prework Plan sent out date; reminder sent" dataDxfId="6"/>
    <tableColumn id="9" xr3:uid="{48D9DCAD-0574-46CB-8A09-7AB011AC589C}" name="Most" dataDxfId="5"/>
    <tableColumn id="10" xr3:uid="{8B123C49-F4B8-4D8F-92E4-6FAF7AC311D2}" name="2nd Most (If Tied or to offset tied Least)" dataDxfId="4"/>
    <tableColumn id="8" xr3:uid="{809B2FAE-2DC0-4611-AF1D-E49291305D76}" name="Least" dataDxfId="3"/>
    <tableColumn id="11" xr3:uid="{FB709E35-7EA8-4F94-9D2E-2B543796E142}" name="2nd Least (is tied or to offset the tied mosts)" dataDxfId="2"/>
    <tableColumn id="6" xr3:uid="{7DB22196-614C-40FA-B767-0929D1C834B2}" name="Lvls taken" dataDxfId="1"/>
    <tableColumn id="7" xr3:uid="{FB82257F-86F4-455D-B5CC-9D8BFB974903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opLeftCell="A4" zoomScale="75" workbookViewId="0">
      <selection activeCell="C29" sqref="C29"/>
    </sheetView>
  </sheetViews>
  <sheetFormatPr defaultColWidth="10.85546875" defaultRowHeight="15"/>
  <cols>
    <col min="1" max="1" width="5.5703125" style="10" customWidth="1"/>
    <col min="2" max="2" width="38.85546875" style="10" customWidth="1"/>
    <col min="3" max="3" width="9.5703125" customWidth="1"/>
    <col min="4" max="4" width="16.42578125" customWidth="1"/>
    <col min="5" max="5" width="13.140625" customWidth="1"/>
    <col min="6" max="6" width="11"/>
    <col min="7" max="7" width="20.42578125" style="10" customWidth="1"/>
    <col min="8" max="9" width="18" style="10" customWidth="1"/>
    <col min="10" max="11" width="19.28515625" style="10" customWidth="1"/>
    <col min="12" max="12" width="39.85546875" style="10" customWidth="1"/>
    <col min="13" max="14" width="19.28515625" style="10" customWidth="1"/>
    <col min="15" max="18" width="11"/>
    <col min="19" max="19" width="11.85546875" style="10" customWidth="1"/>
    <col min="20" max="20" width="47.42578125" style="10" customWidth="1"/>
    <col min="21" max="16384" width="10.85546875" style="10"/>
  </cols>
  <sheetData>
    <row r="1" spans="1:18" ht="25.9" customHeight="1">
      <c r="B1" s="14" t="s">
        <v>0</v>
      </c>
      <c r="C1" s="27" t="s">
        <v>1</v>
      </c>
      <c r="D1" s="27"/>
      <c r="E1" s="27"/>
      <c r="F1" s="27"/>
      <c r="G1" s="27"/>
      <c r="H1" s="27"/>
      <c r="I1" s="27"/>
      <c r="O1" s="10"/>
      <c r="P1" s="10"/>
      <c r="Q1" s="10"/>
      <c r="R1" s="10"/>
    </row>
    <row r="2" spans="1:18" ht="45.75">
      <c r="B2" s="14" t="s">
        <v>2</v>
      </c>
      <c r="C2" s="10"/>
      <c r="D2" s="11" t="s">
        <v>3</v>
      </c>
      <c r="E2" s="10"/>
      <c r="F2" s="10"/>
      <c r="G2" s="13" t="s">
        <v>4</v>
      </c>
      <c r="J2" s="10" t="s">
        <v>5</v>
      </c>
      <c r="O2" s="10"/>
      <c r="P2" s="10"/>
      <c r="Q2" s="10"/>
      <c r="R2" s="10"/>
    </row>
    <row r="3" spans="1:18" ht="18">
      <c r="B3" s="15" t="s">
        <v>6</v>
      </c>
      <c r="C3" s="10"/>
      <c r="D3" s="10" t="s">
        <v>7</v>
      </c>
      <c r="E3" s="10"/>
      <c r="F3" s="10"/>
      <c r="G3" s="13" t="s">
        <v>8</v>
      </c>
      <c r="O3" s="10"/>
      <c r="P3" s="10"/>
      <c r="Q3" s="10"/>
      <c r="R3" s="10"/>
    </row>
    <row r="4" spans="1:18">
      <c r="C4" s="10"/>
      <c r="D4" s="10"/>
      <c r="E4" s="10"/>
      <c r="F4" s="10"/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O4" s="10"/>
      <c r="P4" s="10"/>
      <c r="Q4" s="10"/>
      <c r="R4" s="10"/>
    </row>
    <row r="5" spans="1:18" ht="76.5" thickBot="1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  <c r="K5" s="10" t="s">
        <v>25</v>
      </c>
      <c r="L5" s="10" t="s">
        <v>26</v>
      </c>
      <c r="O5" s="10"/>
      <c r="P5" s="10"/>
      <c r="Q5" s="10"/>
      <c r="R5" s="10"/>
    </row>
    <row r="6" spans="1:18" ht="17.25" thickTop="1" thickBot="1">
      <c r="A6" s="9">
        <v>1</v>
      </c>
      <c r="B6" s="19" t="s">
        <v>27</v>
      </c>
      <c r="C6" s="17"/>
      <c r="D6" s="12"/>
      <c r="E6" s="17"/>
      <c r="F6" s="18"/>
      <c r="G6" s="19" t="s">
        <v>13</v>
      </c>
      <c r="H6" s="17"/>
      <c r="I6" s="19" t="s">
        <v>10</v>
      </c>
      <c r="J6" s="17"/>
      <c r="K6" s="18"/>
      <c r="L6" s="18"/>
      <c r="O6" s="10"/>
      <c r="P6" s="10"/>
      <c r="Q6" s="10"/>
      <c r="R6" s="10"/>
    </row>
    <row r="7" spans="1:18" ht="17.25" thickTop="1" thickBot="1">
      <c r="A7" s="16">
        <v>2</v>
      </c>
      <c r="B7" s="22" t="s">
        <v>28</v>
      </c>
      <c r="C7" s="23"/>
      <c r="D7" s="24"/>
      <c r="E7" s="23"/>
      <c r="F7" s="23"/>
      <c r="G7" s="22" t="s">
        <v>14</v>
      </c>
      <c r="H7" s="23"/>
      <c r="I7" s="22" t="s">
        <v>10</v>
      </c>
      <c r="J7" s="17"/>
      <c r="K7" s="17"/>
      <c r="L7" s="17"/>
      <c r="O7" s="10"/>
      <c r="P7" s="10"/>
      <c r="Q7" s="10"/>
      <c r="R7" s="10"/>
    </row>
    <row r="8" spans="1:18" ht="17.25" thickTop="1" thickBot="1">
      <c r="A8" s="9">
        <v>3</v>
      </c>
      <c r="B8" s="19" t="s">
        <v>29</v>
      </c>
      <c r="C8" s="17"/>
      <c r="D8" s="12"/>
      <c r="E8" s="17"/>
      <c r="F8" s="18"/>
      <c r="G8" s="19" t="s">
        <v>14</v>
      </c>
      <c r="H8" s="17"/>
      <c r="I8" s="19" t="s">
        <v>11</v>
      </c>
      <c r="J8" s="17"/>
      <c r="K8" s="18"/>
      <c r="L8" s="18"/>
      <c r="O8" s="10"/>
      <c r="P8" s="10"/>
      <c r="Q8" s="10"/>
      <c r="R8" s="10"/>
    </row>
    <row r="9" spans="1:18" ht="17.25" thickTop="1" thickBot="1">
      <c r="A9" s="9">
        <v>4</v>
      </c>
      <c r="B9" s="20" t="s">
        <v>30</v>
      </c>
      <c r="C9" s="17"/>
      <c r="D9" s="12"/>
      <c r="E9" s="17"/>
      <c r="F9" s="17"/>
      <c r="G9" s="20" t="s">
        <v>12</v>
      </c>
      <c r="H9" s="17"/>
      <c r="I9" s="20" t="s">
        <v>11</v>
      </c>
      <c r="J9" s="17"/>
      <c r="K9" s="17"/>
      <c r="L9" s="17"/>
      <c r="O9" s="10"/>
      <c r="P9" s="10"/>
      <c r="Q9" s="10"/>
      <c r="R9" s="10"/>
    </row>
    <row r="10" spans="1:18" ht="17.25" thickTop="1" thickBot="1">
      <c r="A10" s="9">
        <v>5</v>
      </c>
      <c r="B10" s="17" t="s">
        <v>31</v>
      </c>
      <c r="C10" s="18"/>
      <c r="D10" s="12"/>
      <c r="E10" s="18"/>
      <c r="F10" s="18"/>
      <c r="G10" s="18" t="s">
        <v>12</v>
      </c>
      <c r="H10" s="17"/>
      <c r="I10" s="18" t="s">
        <v>14</v>
      </c>
      <c r="J10" s="17"/>
      <c r="K10" s="18"/>
      <c r="L10" s="17"/>
      <c r="O10" s="10"/>
      <c r="P10" s="10"/>
      <c r="Q10" s="10"/>
      <c r="R10" s="10"/>
    </row>
    <row r="11" spans="1:18" ht="17.25" thickTop="1" thickBot="1">
      <c r="A11" s="9">
        <v>6</v>
      </c>
      <c r="B11" s="20" t="s">
        <v>32</v>
      </c>
      <c r="C11" s="17"/>
      <c r="D11" s="12"/>
      <c r="E11" s="17"/>
      <c r="F11" s="17"/>
      <c r="G11" s="20" t="s">
        <v>10</v>
      </c>
      <c r="H11" s="17"/>
      <c r="I11" s="20" t="s">
        <v>12</v>
      </c>
      <c r="J11" s="17"/>
      <c r="K11" s="17"/>
      <c r="L11" s="17"/>
      <c r="O11" s="10"/>
      <c r="P11" s="10"/>
      <c r="Q11" s="10"/>
      <c r="R11" s="10"/>
    </row>
    <row r="12" spans="1:18" ht="17.25" thickTop="1" thickBot="1">
      <c r="A12" s="9">
        <v>7</v>
      </c>
      <c r="B12" s="19" t="s">
        <v>33</v>
      </c>
      <c r="C12" s="17"/>
      <c r="D12" s="12"/>
      <c r="E12" s="17"/>
      <c r="F12" s="18"/>
      <c r="G12" s="19" t="s">
        <v>12</v>
      </c>
      <c r="H12" s="17" t="s">
        <v>11</v>
      </c>
      <c r="I12" s="19" t="s">
        <v>13</v>
      </c>
      <c r="J12" s="17"/>
      <c r="K12" s="18"/>
      <c r="L12" s="18"/>
      <c r="O12" s="10"/>
      <c r="P12" s="10"/>
      <c r="Q12" s="10"/>
      <c r="R12" s="10"/>
    </row>
    <row r="13" spans="1:18" ht="17.25" thickTop="1" thickBot="1">
      <c r="A13" s="9">
        <v>8</v>
      </c>
      <c r="B13" s="20" t="s">
        <v>34</v>
      </c>
      <c r="C13" s="17"/>
      <c r="D13" s="12"/>
      <c r="E13" s="17"/>
      <c r="F13" s="17"/>
      <c r="G13" s="20" t="s">
        <v>11</v>
      </c>
      <c r="H13" s="17"/>
      <c r="I13" s="20" t="s">
        <v>12</v>
      </c>
      <c r="J13" s="17"/>
      <c r="K13" s="17"/>
      <c r="L13" s="17"/>
      <c r="O13" s="10"/>
      <c r="P13" s="10"/>
      <c r="Q13" s="10"/>
      <c r="R13" s="10"/>
    </row>
    <row r="14" spans="1:18" ht="17.25" thickTop="1" thickBot="1">
      <c r="A14" s="9">
        <v>9</v>
      </c>
      <c r="B14" s="17" t="s">
        <v>35</v>
      </c>
      <c r="C14" s="18"/>
      <c r="D14" s="12"/>
      <c r="E14" s="18"/>
      <c r="F14" s="18"/>
      <c r="G14" s="18" t="s">
        <v>13</v>
      </c>
      <c r="H14" s="17"/>
      <c r="I14" s="18" t="s">
        <v>12</v>
      </c>
      <c r="J14" s="17"/>
      <c r="K14" s="18"/>
      <c r="L14" s="17"/>
      <c r="O14" s="10"/>
      <c r="P14" s="10"/>
      <c r="Q14" s="10"/>
      <c r="R14" s="10"/>
    </row>
    <row r="15" spans="1:18" ht="17.25" thickTop="1" thickBot="1">
      <c r="A15" s="9">
        <v>10</v>
      </c>
      <c r="B15" s="20" t="s">
        <v>36</v>
      </c>
      <c r="C15" s="17"/>
      <c r="D15" s="12"/>
      <c r="E15" s="17"/>
      <c r="F15" s="17"/>
      <c r="G15" s="20" t="s">
        <v>13</v>
      </c>
      <c r="H15" s="17"/>
      <c r="I15" s="20" t="s">
        <v>11</v>
      </c>
      <c r="J15" s="17"/>
      <c r="K15" s="17"/>
      <c r="L15" s="17"/>
      <c r="O15" s="10"/>
      <c r="P15" s="10"/>
      <c r="Q15" s="10"/>
      <c r="R15" s="10"/>
    </row>
    <row r="16" spans="1:18" ht="17.25" thickTop="1" thickBot="1">
      <c r="A16" s="9">
        <v>11</v>
      </c>
      <c r="B16" s="19" t="s">
        <v>37</v>
      </c>
      <c r="C16" s="17"/>
      <c r="D16" s="12"/>
      <c r="E16" s="17"/>
      <c r="F16" s="18"/>
      <c r="G16" s="19" t="s">
        <v>10</v>
      </c>
      <c r="H16" s="17"/>
      <c r="I16" s="19" t="s">
        <v>12</v>
      </c>
      <c r="J16" s="17"/>
      <c r="K16" s="18"/>
      <c r="L16" s="18"/>
      <c r="O16" s="10"/>
      <c r="P16" s="10"/>
      <c r="Q16" s="10"/>
      <c r="R16" s="10"/>
    </row>
    <row r="17" spans="1:18" ht="17.25" thickTop="1" thickBot="1">
      <c r="A17" s="9">
        <v>12</v>
      </c>
      <c r="B17" s="20" t="s">
        <v>38</v>
      </c>
      <c r="C17" s="17"/>
      <c r="D17" s="12"/>
      <c r="E17" s="17"/>
      <c r="F17" s="17"/>
      <c r="G17" s="20" t="s">
        <v>10</v>
      </c>
      <c r="H17" s="17"/>
      <c r="I17" s="20" t="s">
        <v>13</v>
      </c>
      <c r="J17" s="17"/>
      <c r="K17" s="17"/>
      <c r="L17" s="17"/>
      <c r="O17" s="10"/>
      <c r="P17" s="10"/>
      <c r="Q17" s="10"/>
      <c r="R17" s="10"/>
    </row>
    <row r="18" spans="1:18" ht="17.25" thickTop="1" thickBot="1">
      <c r="A18" s="16">
        <v>13</v>
      </c>
      <c r="B18" s="19" t="s">
        <v>39</v>
      </c>
      <c r="C18" s="17"/>
      <c r="D18" s="12"/>
      <c r="E18" s="17"/>
      <c r="F18" s="18"/>
      <c r="G18" s="19" t="s">
        <v>11</v>
      </c>
      <c r="H18" s="17"/>
      <c r="I18" s="19" t="s">
        <v>14</v>
      </c>
      <c r="J18" s="17"/>
      <c r="K18" s="18"/>
      <c r="L18" s="18"/>
      <c r="O18" s="10"/>
      <c r="P18" s="10"/>
      <c r="Q18" s="10"/>
      <c r="R18" s="10"/>
    </row>
    <row r="19" spans="1:18" ht="17.25" thickTop="1" thickBot="1">
      <c r="A19" s="9">
        <v>14</v>
      </c>
      <c r="B19" s="20" t="s">
        <v>40</v>
      </c>
      <c r="C19" s="17"/>
      <c r="D19" s="12"/>
      <c r="E19" s="17"/>
      <c r="F19" s="17"/>
      <c r="G19" s="20" t="s">
        <v>10</v>
      </c>
      <c r="H19" s="17"/>
      <c r="I19" s="20" t="s">
        <v>13</v>
      </c>
      <c r="J19" s="17"/>
      <c r="K19" s="17"/>
      <c r="L19" s="17"/>
      <c r="O19" s="10"/>
      <c r="P19" s="10"/>
      <c r="Q19" s="10"/>
      <c r="R19" s="10"/>
    </row>
    <row r="20" spans="1:18" ht="17.25" thickTop="1" thickBot="1">
      <c r="A20" s="9">
        <v>15</v>
      </c>
      <c r="B20" s="19" t="s">
        <v>41</v>
      </c>
      <c r="C20" s="17"/>
      <c r="D20" s="12"/>
      <c r="E20" s="17"/>
      <c r="F20" s="18"/>
      <c r="G20" s="19" t="s">
        <v>14</v>
      </c>
      <c r="H20" s="17"/>
      <c r="I20" s="19" t="s">
        <v>12</v>
      </c>
      <c r="J20" s="17"/>
      <c r="K20" s="18"/>
      <c r="L20" s="18"/>
      <c r="O20" s="10"/>
      <c r="P20" s="10"/>
      <c r="Q20" s="10"/>
      <c r="R20" s="10"/>
    </row>
    <row r="21" spans="1:18" ht="17.25" thickTop="1" thickBot="1">
      <c r="A21" s="9">
        <v>16</v>
      </c>
      <c r="B21" s="22" t="s">
        <v>42</v>
      </c>
      <c r="C21" s="23"/>
      <c r="D21" s="24"/>
      <c r="E21" s="23"/>
      <c r="F21" s="23"/>
      <c r="G21" s="22" t="s">
        <v>10</v>
      </c>
      <c r="H21" s="23"/>
      <c r="I21" s="22" t="s">
        <v>11</v>
      </c>
      <c r="J21" s="17"/>
      <c r="K21" s="17"/>
      <c r="L21" s="17"/>
      <c r="O21" s="10"/>
      <c r="P21" s="10"/>
      <c r="Q21" s="10"/>
      <c r="R21" s="10"/>
    </row>
    <row r="22" spans="1:18" ht="17.25" thickTop="1" thickBot="1">
      <c r="A22" s="16">
        <v>17</v>
      </c>
      <c r="B22" s="19" t="s">
        <v>43</v>
      </c>
      <c r="C22" s="17"/>
      <c r="D22" s="12"/>
      <c r="E22" s="17"/>
      <c r="F22" s="18"/>
      <c r="G22" s="19" t="s">
        <v>14</v>
      </c>
      <c r="H22" s="17"/>
      <c r="I22" s="19" t="s">
        <v>13</v>
      </c>
      <c r="J22" s="17"/>
      <c r="K22" s="18"/>
      <c r="L22" s="18"/>
      <c r="O22" s="10"/>
      <c r="P22" s="10"/>
      <c r="Q22" s="10"/>
      <c r="R22" s="10"/>
    </row>
    <row r="23" spans="1:18" ht="17.25" thickTop="1" thickBot="1">
      <c r="A23" s="16">
        <v>18</v>
      </c>
      <c r="B23" s="20" t="s">
        <v>44</v>
      </c>
      <c r="C23" s="17"/>
      <c r="D23" s="12"/>
      <c r="E23" s="17"/>
      <c r="F23" s="17"/>
      <c r="G23" s="20" t="s">
        <v>11</v>
      </c>
      <c r="H23" s="17"/>
      <c r="I23" s="20" t="s">
        <v>13</v>
      </c>
      <c r="J23" s="17"/>
      <c r="K23" s="17"/>
      <c r="L23" s="17"/>
      <c r="O23" s="10"/>
      <c r="P23" s="10"/>
      <c r="Q23" s="10"/>
      <c r="R23" s="10"/>
    </row>
    <row r="24" spans="1:18" ht="17.25" thickTop="1" thickBot="1">
      <c r="A24" s="9">
        <v>19</v>
      </c>
      <c r="B24" s="25" t="s">
        <v>45</v>
      </c>
      <c r="C24" s="23"/>
      <c r="D24" s="24"/>
      <c r="E24" s="23"/>
      <c r="F24" s="26"/>
      <c r="G24" s="25" t="s">
        <v>14</v>
      </c>
      <c r="H24" s="23"/>
      <c r="I24" s="25" t="s">
        <v>13</v>
      </c>
      <c r="J24" s="23"/>
      <c r="K24" s="26"/>
      <c r="L24" s="26"/>
      <c r="O24" s="10"/>
      <c r="P24" s="10"/>
      <c r="Q24" s="10"/>
      <c r="R24" s="10"/>
    </row>
    <row r="25" spans="1:18" ht="15.75">
      <c r="A25" s="9">
        <v>20</v>
      </c>
      <c r="B25" s="20" t="s">
        <v>46</v>
      </c>
      <c r="C25" s="17"/>
      <c r="D25" s="12"/>
      <c r="E25" s="17"/>
      <c r="F25" s="17"/>
      <c r="G25" s="20" t="s">
        <v>14</v>
      </c>
      <c r="H25" s="17"/>
      <c r="I25" s="20" t="s">
        <v>11</v>
      </c>
      <c r="J25" s="17"/>
      <c r="K25" s="17"/>
      <c r="L25" s="17"/>
      <c r="O25" s="10"/>
      <c r="P25" s="10"/>
      <c r="Q25" s="10"/>
      <c r="R25" s="10"/>
    </row>
    <row r="26" spans="1:18" ht="15.75">
      <c r="A26" s="9">
        <v>21</v>
      </c>
      <c r="B26" s="19" t="s">
        <v>47</v>
      </c>
      <c r="C26" s="17"/>
      <c r="D26" s="12"/>
      <c r="E26" s="17"/>
      <c r="F26" s="18"/>
      <c r="G26" s="19" t="s">
        <v>14</v>
      </c>
      <c r="H26" s="17"/>
      <c r="I26" s="19" t="s">
        <v>11</v>
      </c>
      <c r="J26" s="17"/>
      <c r="K26" s="18"/>
      <c r="L26" s="18"/>
    </row>
    <row r="27" spans="1:18" ht="17.25" thickTop="1" thickBot="1">
      <c r="A27" s="9">
        <v>22</v>
      </c>
      <c r="B27" s="17"/>
      <c r="C27" s="18"/>
      <c r="D27" s="12"/>
      <c r="E27" s="18"/>
      <c r="F27" s="18"/>
      <c r="G27" s="18"/>
      <c r="H27" s="17"/>
      <c r="I27" s="18"/>
      <c r="J27" s="17"/>
      <c r="K27" s="18"/>
      <c r="L27" s="17"/>
    </row>
    <row r="28" spans="1:18" ht="16.5" thickTop="1">
      <c r="B28" s="11"/>
      <c r="C28" s="11"/>
      <c r="D28" s="12"/>
      <c r="E28" s="11"/>
      <c r="F28" s="11"/>
      <c r="G28" s="11"/>
      <c r="I28" s="11"/>
      <c r="K28" s="11"/>
      <c r="L28" s="11"/>
    </row>
    <row r="30" spans="1:18">
      <c r="C30" s="10"/>
      <c r="G30"/>
      <c r="O30" s="10"/>
      <c r="P30" s="10"/>
      <c r="Q30" s="10"/>
      <c r="R30" s="10"/>
    </row>
    <row r="31" spans="1:18">
      <c r="C31" s="10"/>
      <c r="G31"/>
      <c r="O31" s="10"/>
      <c r="P31" s="10"/>
      <c r="Q31" s="10"/>
      <c r="R31" s="10"/>
    </row>
  </sheetData>
  <mergeCells count="1">
    <mergeCell ref="C1:I1"/>
  </mergeCells>
  <dataValidations count="1">
    <dataValidation type="list" allowBlank="1" showInputMessage="1" showErrorMessage="1" sqref="G22:G27 H6:H27 J6:J27 I22:I27" xr:uid="{E120FCA4-4992-A647-AA3A-8E939067BF05}">
      <formula1>"Accommodating, Avoiding, Competing, Compromising, Collaborating"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tabSelected="1" workbookViewId="0">
      <selection activeCell="N11" sqref="N11"/>
    </sheetView>
  </sheetViews>
  <sheetFormatPr defaultColWidth="11" defaultRowHeight="12.75"/>
  <cols>
    <col min="1" max="1" width="13.5703125" customWidth="1"/>
    <col min="5" max="5" width="7.140625" customWidth="1"/>
    <col min="6" max="6" width="17.42578125" customWidth="1"/>
    <col min="7" max="7" width="17" customWidth="1"/>
    <col min="8" max="8" width="16.5703125" customWidth="1"/>
    <col min="9" max="9" width="17.140625" customWidth="1"/>
    <col min="10" max="10" width="18.85546875" customWidth="1"/>
  </cols>
  <sheetData>
    <row r="1" spans="1:3" ht="33.75">
      <c r="A1" s="1" t="s">
        <v>48</v>
      </c>
    </row>
    <row r="2" spans="1:3">
      <c r="A2" t="s">
        <v>49</v>
      </c>
    </row>
    <row r="3" spans="1:3">
      <c r="A3" s="2"/>
      <c r="B3" s="2" t="s">
        <v>50</v>
      </c>
      <c r="C3" s="2" t="s">
        <v>51</v>
      </c>
    </row>
    <row r="4" spans="1:3">
      <c r="A4" s="3" t="s">
        <v>14</v>
      </c>
      <c r="B4" s="4">
        <f>COUNTIF(Table6[[Most]:[2nd Most (If Tied or to offset tied Least)]],"Accommodating")</f>
        <v>7</v>
      </c>
      <c r="C4" s="4">
        <f>COUNTIF(Table6[[Least]:[2nd Least (is tied or to offset the tied mosts)]],"Accommodating")</f>
        <v>2</v>
      </c>
    </row>
    <row r="5" spans="1:3">
      <c r="A5" s="3" t="s">
        <v>10</v>
      </c>
      <c r="B5" s="4">
        <f>COUNTIF(Table6[[Most]:[2nd Most (If Tied or to offset tied Least)]],"Competing")</f>
        <v>5</v>
      </c>
      <c r="C5" s="4">
        <f>COUNTIF(Table6[[Least]:[2nd Least (is tied or to offset the tied mosts)]],"Competing")</f>
        <v>2</v>
      </c>
    </row>
    <row r="6" spans="1:3">
      <c r="A6" s="5" t="s">
        <v>11</v>
      </c>
      <c r="B6" s="6">
        <f>COUNTIF(Table6[[Most]:[2nd Most (If Tied or to offset tied Least)]],"Collaborating")</f>
        <v>4</v>
      </c>
      <c r="C6" s="6">
        <f>COUNTIF(Table6[[Least]:[2nd Least (is tied or to offset the tied mosts)]],"Collaborating")</f>
        <v>6</v>
      </c>
    </row>
    <row r="7" spans="1:3">
      <c r="A7" s="3" t="s">
        <v>12</v>
      </c>
      <c r="B7" s="4">
        <f>COUNTIF(Table6[[Most]:[2nd Most (If Tied or to offset tied Least)]],"Compromising")</f>
        <v>3</v>
      </c>
      <c r="C7" s="4">
        <f>COUNTIF(Table6[[Least]:[2nd Least (is tied or to offset the tied mosts)]],"Compromising")</f>
        <v>5</v>
      </c>
    </row>
    <row r="8" spans="1:3">
      <c r="A8" s="5" t="s">
        <v>13</v>
      </c>
      <c r="B8" s="6">
        <f>COUNTIF(Table6[[Most]:[2nd Most (If Tied or to offset tied Least)]],"Avoiding")</f>
        <v>3</v>
      </c>
      <c r="C8" s="6">
        <f>COUNTIF(Table6[[Least]:[2nd Least (is tied or to offset the tied mosts)]],"Avoiding")</f>
        <v>6</v>
      </c>
    </row>
    <row r="9" spans="1:3">
      <c r="B9" s="7"/>
      <c r="C9" s="7"/>
    </row>
    <row r="10" spans="1:3">
      <c r="B10" s="7">
        <f>SUM(B4:B9)</f>
        <v>22</v>
      </c>
      <c r="C10" s="7">
        <f>SUM(C4:C9)</f>
        <v>21</v>
      </c>
    </row>
    <row r="23" spans="6:10" ht="16.5" customHeight="1"/>
    <row r="24" spans="6:10" ht="14.1" customHeight="1"/>
    <row r="26" spans="6:10" ht="14.25">
      <c r="F26" s="21"/>
      <c r="G26" s="21"/>
      <c r="H26" s="21"/>
      <c r="I26" s="21"/>
      <c r="J26" s="21"/>
    </row>
    <row r="35" spans="1:1">
      <c r="A35" s="8">
        <v>43283</v>
      </c>
    </row>
  </sheetData>
  <autoFilter ref="A4:C8" xr:uid="{00000000-0001-0000-0100-000000000000}">
    <sortState xmlns:xlrd2="http://schemas.microsoft.com/office/spreadsheetml/2017/richdata2" ref="A5:C8">
      <sortCondition descending="1" ref="B5:B8"/>
    </sortState>
  </autoFilter>
  <sortState xmlns:xlrd2="http://schemas.microsoft.com/office/spreadsheetml/2017/richdata2" ref="A4:C8">
    <sortCondition descending="1" ref="B4:B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BF00-86F7-4289-90D0-776568B6EACC}">
  <sheetPr>
    <pageSetUpPr fitToPage="1"/>
  </sheetPr>
  <dimension ref="A1:R26"/>
  <sheetViews>
    <sheetView topLeftCell="A5" zoomScale="75" workbookViewId="0">
      <selection activeCell="I5" sqref="I5"/>
    </sheetView>
  </sheetViews>
  <sheetFormatPr defaultColWidth="10.85546875" defaultRowHeight="15"/>
  <cols>
    <col min="1" max="1" width="5.5703125" style="10" customWidth="1"/>
    <col min="2" max="2" width="38.85546875" style="10" customWidth="1"/>
    <col min="3" max="3" width="9.5703125" customWidth="1"/>
    <col min="4" max="4" width="16.42578125" customWidth="1"/>
    <col min="5" max="5" width="13.140625" customWidth="1"/>
    <col min="6" max="6" width="9.140625"/>
    <col min="7" max="7" width="20.42578125" style="10" customWidth="1"/>
    <col min="8" max="9" width="18" style="10" customWidth="1"/>
    <col min="10" max="11" width="19.28515625" style="10" customWidth="1"/>
    <col min="12" max="12" width="39.85546875" style="10" customWidth="1"/>
    <col min="13" max="14" width="19.28515625" style="10" customWidth="1"/>
    <col min="15" max="18" width="9.140625"/>
    <col min="19" max="19" width="11.85546875" style="10" customWidth="1"/>
    <col min="20" max="20" width="47.42578125" style="10" customWidth="1"/>
    <col min="21" max="16384" width="10.85546875" style="10"/>
  </cols>
  <sheetData>
    <row r="1" spans="1:18" ht="25.9" customHeight="1">
      <c r="B1" s="14" t="s">
        <v>0</v>
      </c>
      <c r="C1" s="27" t="s">
        <v>1</v>
      </c>
      <c r="D1" s="27"/>
      <c r="E1" s="27"/>
      <c r="F1" s="27"/>
      <c r="G1" s="27"/>
      <c r="H1" s="27"/>
      <c r="I1" s="27"/>
      <c r="O1" s="10"/>
      <c r="P1" s="10"/>
      <c r="Q1" s="10"/>
      <c r="R1" s="10"/>
    </row>
    <row r="2" spans="1:18" ht="45.75">
      <c r="B2" s="14" t="s">
        <v>2</v>
      </c>
      <c r="C2" s="10"/>
      <c r="D2" s="11" t="s">
        <v>3</v>
      </c>
      <c r="E2" s="10"/>
      <c r="F2" s="10"/>
      <c r="G2" s="13" t="s">
        <v>4</v>
      </c>
      <c r="J2" s="10" t="s">
        <v>5</v>
      </c>
      <c r="O2" s="10"/>
      <c r="P2" s="10"/>
      <c r="Q2" s="10"/>
      <c r="R2" s="10"/>
    </row>
    <row r="3" spans="1:18" ht="18">
      <c r="B3" s="15" t="s">
        <v>6</v>
      </c>
      <c r="C3" s="10"/>
      <c r="D3" s="10" t="s">
        <v>7</v>
      </c>
      <c r="E3" s="10"/>
      <c r="F3" s="10"/>
      <c r="G3" s="13" t="s">
        <v>8</v>
      </c>
      <c r="O3" s="10"/>
      <c r="P3" s="10"/>
      <c r="Q3" s="10"/>
      <c r="R3" s="10"/>
    </row>
    <row r="4" spans="1:18">
      <c r="C4" s="10"/>
      <c r="D4" s="10"/>
      <c r="E4" s="10"/>
      <c r="F4" s="10"/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O4" s="10"/>
      <c r="P4" s="10"/>
      <c r="Q4" s="10"/>
      <c r="R4" s="10"/>
    </row>
    <row r="5" spans="1:18" ht="90.75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  <c r="K5" s="10" t="s">
        <v>25</v>
      </c>
      <c r="L5" s="10" t="s">
        <v>26</v>
      </c>
      <c r="O5" s="10"/>
      <c r="P5" s="10"/>
      <c r="Q5" s="10"/>
      <c r="R5" s="10"/>
    </row>
    <row r="6" spans="1:18" ht="15.75">
      <c r="A6" s="9">
        <v>1</v>
      </c>
      <c r="B6" s="19" t="s">
        <v>29</v>
      </c>
      <c r="C6" s="17"/>
      <c r="D6" s="12"/>
      <c r="E6" s="17"/>
      <c r="F6" s="18"/>
      <c r="G6" s="19" t="s">
        <v>14</v>
      </c>
      <c r="H6" s="17"/>
      <c r="I6" s="19" t="s">
        <v>11</v>
      </c>
      <c r="J6" s="17"/>
      <c r="K6" s="18"/>
      <c r="L6" s="18"/>
      <c r="O6" s="10"/>
      <c r="P6" s="10"/>
      <c r="Q6" s="10"/>
      <c r="R6" s="10"/>
    </row>
    <row r="7" spans="1:18" ht="15.75">
      <c r="A7" s="9">
        <v>2</v>
      </c>
      <c r="B7" s="20" t="s">
        <v>30</v>
      </c>
      <c r="C7" s="17"/>
      <c r="D7" s="12"/>
      <c r="E7" s="17"/>
      <c r="F7" s="17"/>
      <c r="G7" s="20" t="s">
        <v>12</v>
      </c>
      <c r="H7" s="17"/>
      <c r="I7" s="20" t="s">
        <v>11</v>
      </c>
      <c r="J7" s="17"/>
      <c r="K7" s="17"/>
      <c r="L7" s="17"/>
      <c r="O7" s="10"/>
      <c r="P7" s="10"/>
      <c r="Q7" s="10"/>
      <c r="R7" s="10"/>
    </row>
    <row r="8" spans="1:18" ht="15.75">
      <c r="A8" s="9">
        <v>3</v>
      </c>
      <c r="B8" s="17" t="s">
        <v>31</v>
      </c>
      <c r="C8" s="18"/>
      <c r="D8" s="12"/>
      <c r="E8" s="18"/>
      <c r="F8" s="18"/>
      <c r="G8" s="18" t="s">
        <v>12</v>
      </c>
      <c r="H8" s="17"/>
      <c r="I8" s="18" t="s">
        <v>14</v>
      </c>
      <c r="J8" s="17"/>
      <c r="K8" s="18"/>
      <c r="L8" s="17"/>
      <c r="O8" s="10"/>
      <c r="P8" s="10"/>
      <c r="Q8" s="10"/>
      <c r="R8" s="10"/>
    </row>
    <row r="9" spans="1:18" ht="15.75">
      <c r="A9" s="9">
        <v>4</v>
      </c>
      <c r="B9" s="20" t="s">
        <v>32</v>
      </c>
      <c r="C9" s="17"/>
      <c r="D9" s="12"/>
      <c r="E9" s="17"/>
      <c r="F9" s="17"/>
      <c r="G9" s="20" t="s">
        <v>10</v>
      </c>
      <c r="H9" s="17"/>
      <c r="I9" s="20" t="s">
        <v>12</v>
      </c>
      <c r="J9" s="17"/>
      <c r="K9" s="17"/>
      <c r="L9" s="17"/>
      <c r="O9" s="10"/>
      <c r="P9" s="10"/>
      <c r="Q9" s="10"/>
      <c r="R9" s="10"/>
    </row>
    <row r="10" spans="1:18" ht="15.75">
      <c r="A10" s="9">
        <v>5</v>
      </c>
      <c r="B10" s="19" t="s">
        <v>33</v>
      </c>
      <c r="C10" s="17"/>
      <c r="D10" s="12"/>
      <c r="E10" s="17"/>
      <c r="F10" s="18"/>
      <c r="G10" s="19" t="s">
        <v>12</v>
      </c>
      <c r="H10" s="17" t="s">
        <v>11</v>
      </c>
      <c r="I10" s="19" t="s">
        <v>13</v>
      </c>
      <c r="J10" s="17"/>
      <c r="K10" s="18"/>
      <c r="L10" s="18"/>
      <c r="O10" s="10"/>
      <c r="P10" s="10"/>
      <c r="Q10" s="10"/>
      <c r="R10" s="10"/>
    </row>
    <row r="11" spans="1:18" ht="15.75">
      <c r="A11" s="9">
        <v>6</v>
      </c>
      <c r="B11" s="20" t="s">
        <v>34</v>
      </c>
      <c r="C11" s="17"/>
      <c r="D11" s="12"/>
      <c r="E11" s="17"/>
      <c r="F11" s="17"/>
      <c r="G11" s="20" t="s">
        <v>11</v>
      </c>
      <c r="H11" s="17"/>
      <c r="I11" s="20" t="s">
        <v>12</v>
      </c>
      <c r="J11" s="17"/>
      <c r="K11" s="17"/>
      <c r="L11" s="17"/>
      <c r="O11" s="10"/>
      <c r="P11" s="10"/>
      <c r="Q11" s="10"/>
      <c r="R11" s="10"/>
    </row>
    <row r="12" spans="1:18" ht="15.75">
      <c r="A12" s="9">
        <v>7</v>
      </c>
      <c r="B12" s="20" t="s">
        <v>36</v>
      </c>
      <c r="C12" s="17"/>
      <c r="D12" s="12"/>
      <c r="E12" s="17"/>
      <c r="F12" s="17"/>
      <c r="G12" s="20" t="s">
        <v>13</v>
      </c>
      <c r="H12" s="17"/>
      <c r="I12" s="20" t="s">
        <v>11</v>
      </c>
      <c r="J12" s="17"/>
      <c r="K12" s="17"/>
      <c r="L12" s="17"/>
      <c r="O12" s="10"/>
      <c r="P12" s="10"/>
      <c r="Q12" s="10"/>
      <c r="R12" s="10"/>
    </row>
    <row r="13" spans="1:18" ht="15.75">
      <c r="A13" s="9">
        <v>8</v>
      </c>
      <c r="B13" s="19" t="s">
        <v>37</v>
      </c>
      <c r="C13" s="17"/>
      <c r="D13" s="12"/>
      <c r="E13" s="17"/>
      <c r="F13" s="18"/>
      <c r="G13" s="19" t="s">
        <v>10</v>
      </c>
      <c r="H13" s="17"/>
      <c r="I13" s="19" t="s">
        <v>12</v>
      </c>
      <c r="J13" s="17"/>
      <c r="K13" s="18"/>
      <c r="L13" s="18"/>
      <c r="O13" s="10"/>
      <c r="P13" s="10"/>
      <c r="Q13" s="10"/>
      <c r="R13" s="10"/>
    </row>
    <row r="14" spans="1:18" ht="15.75">
      <c r="A14" s="9">
        <v>9</v>
      </c>
      <c r="B14" s="20" t="s">
        <v>38</v>
      </c>
      <c r="C14" s="17"/>
      <c r="D14" s="12"/>
      <c r="E14" s="17"/>
      <c r="F14" s="17"/>
      <c r="G14" s="20" t="s">
        <v>10</v>
      </c>
      <c r="H14" s="17"/>
      <c r="I14" s="20" t="s">
        <v>13</v>
      </c>
      <c r="J14" s="17"/>
      <c r="K14" s="17"/>
      <c r="L14" s="17"/>
      <c r="O14" s="10"/>
      <c r="P14" s="10"/>
      <c r="Q14" s="10"/>
      <c r="R14" s="10"/>
    </row>
    <row r="15" spans="1:18" ht="15.75">
      <c r="A15" s="16">
        <v>10</v>
      </c>
      <c r="B15" s="19" t="s">
        <v>39</v>
      </c>
      <c r="C15" s="17"/>
      <c r="D15" s="12"/>
      <c r="E15" s="17"/>
      <c r="F15" s="18"/>
      <c r="G15" s="19" t="s">
        <v>11</v>
      </c>
      <c r="H15" s="17"/>
      <c r="I15" s="19" t="s">
        <v>14</v>
      </c>
      <c r="J15" s="17"/>
      <c r="K15" s="18"/>
      <c r="L15" s="18"/>
      <c r="O15" s="10"/>
      <c r="P15" s="10"/>
      <c r="Q15" s="10"/>
      <c r="R15" s="10"/>
    </row>
    <row r="16" spans="1:18" ht="15.75">
      <c r="A16" s="9">
        <v>11</v>
      </c>
      <c r="B16" s="20" t="s">
        <v>40</v>
      </c>
      <c r="C16" s="17"/>
      <c r="D16" s="12"/>
      <c r="E16" s="17"/>
      <c r="F16" s="17"/>
      <c r="G16" s="20" t="s">
        <v>10</v>
      </c>
      <c r="H16" s="17"/>
      <c r="I16" s="20" t="s">
        <v>13</v>
      </c>
      <c r="J16" s="17"/>
      <c r="K16" s="17"/>
      <c r="L16" s="17"/>
      <c r="O16" s="10"/>
      <c r="P16" s="10"/>
      <c r="Q16" s="10"/>
      <c r="R16" s="10"/>
    </row>
    <row r="17" spans="1:18" ht="15.75">
      <c r="A17" s="9">
        <v>12</v>
      </c>
      <c r="B17" s="19" t="s">
        <v>41</v>
      </c>
      <c r="C17" s="17"/>
      <c r="D17" s="12"/>
      <c r="E17" s="17"/>
      <c r="F17" s="18"/>
      <c r="G17" s="19" t="s">
        <v>14</v>
      </c>
      <c r="H17" s="17"/>
      <c r="I17" s="19" t="s">
        <v>12</v>
      </c>
      <c r="J17" s="17"/>
      <c r="K17" s="18"/>
      <c r="L17" s="18"/>
      <c r="O17" s="10"/>
      <c r="P17" s="10"/>
      <c r="Q17" s="10"/>
      <c r="R17" s="10"/>
    </row>
    <row r="18" spans="1:18" ht="15.75">
      <c r="A18" s="16">
        <v>13</v>
      </c>
      <c r="B18" s="19" t="s">
        <v>43</v>
      </c>
      <c r="C18" s="17"/>
      <c r="D18" s="12"/>
      <c r="E18" s="17"/>
      <c r="F18" s="18"/>
      <c r="G18" s="19" t="s">
        <v>14</v>
      </c>
      <c r="H18" s="17"/>
      <c r="I18" s="19" t="s">
        <v>13</v>
      </c>
      <c r="J18" s="17"/>
      <c r="K18" s="18"/>
      <c r="L18" s="18"/>
      <c r="O18" s="10"/>
      <c r="P18" s="10"/>
      <c r="Q18" s="10"/>
      <c r="R18" s="10"/>
    </row>
    <row r="19" spans="1:18" ht="15.75">
      <c r="A19" s="16">
        <v>14</v>
      </c>
      <c r="B19" s="20" t="s">
        <v>44</v>
      </c>
      <c r="C19" s="17"/>
      <c r="D19" s="12"/>
      <c r="E19" s="17"/>
      <c r="F19" s="17"/>
      <c r="G19" s="20" t="s">
        <v>11</v>
      </c>
      <c r="H19" s="17"/>
      <c r="I19" s="20" t="s">
        <v>13</v>
      </c>
      <c r="J19" s="17"/>
      <c r="K19" s="17"/>
      <c r="L19" s="17"/>
      <c r="O19" s="10"/>
      <c r="P19" s="10"/>
      <c r="Q19" s="10"/>
      <c r="R19" s="10"/>
    </row>
    <row r="20" spans="1:18" ht="15.75">
      <c r="A20" s="9">
        <v>15</v>
      </c>
      <c r="B20" s="20" t="s">
        <v>46</v>
      </c>
      <c r="C20" s="17"/>
      <c r="D20" s="12"/>
      <c r="E20" s="17"/>
      <c r="F20" s="17"/>
      <c r="G20" s="20" t="s">
        <v>14</v>
      </c>
      <c r="H20" s="17"/>
      <c r="I20" s="20" t="s">
        <v>11</v>
      </c>
      <c r="J20" s="17"/>
      <c r="K20" s="17"/>
      <c r="L20" s="17"/>
      <c r="O20" s="10"/>
      <c r="P20" s="10"/>
      <c r="Q20" s="10"/>
      <c r="R20" s="10"/>
    </row>
    <row r="21" spans="1:18" ht="15.75">
      <c r="A21" s="9">
        <v>16</v>
      </c>
      <c r="B21" s="19" t="s">
        <v>47</v>
      </c>
      <c r="C21" s="17"/>
      <c r="D21" s="12"/>
      <c r="E21" s="17"/>
      <c r="F21" s="18"/>
      <c r="G21" s="19" t="s">
        <v>14</v>
      </c>
      <c r="H21" s="17"/>
      <c r="I21" s="19" t="s">
        <v>11</v>
      </c>
      <c r="J21" s="17"/>
      <c r="K21" s="18"/>
      <c r="L21" s="18"/>
    </row>
    <row r="22" spans="1:18" ht="15.75">
      <c r="A22" s="9"/>
      <c r="B22" s="17"/>
      <c r="C22" s="18"/>
      <c r="D22" s="12"/>
      <c r="E22" s="18"/>
      <c r="F22" s="18"/>
      <c r="G22" s="18"/>
      <c r="H22" s="17"/>
      <c r="I22" s="18"/>
      <c r="J22" s="17"/>
      <c r="K22" s="18"/>
      <c r="L22" s="17"/>
    </row>
    <row r="23" spans="1:18" ht="15.75">
      <c r="B23" s="11"/>
      <c r="C23" s="11"/>
      <c r="D23" s="12"/>
      <c r="E23" s="11"/>
      <c r="F23" s="11"/>
      <c r="G23" s="11"/>
      <c r="I23" s="11"/>
      <c r="K23" s="11"/>
      <c r="L23" s="11"/>
    </row>
    <row r="25" spans="1:18">
      <c r="C25" s="10"/>
      <c r="G25"/>
      <c r="O25" s="10"/>
      <c r="P25" s="10"/>
      <c r="Q25" s="10"/>
      <c r="R25" s="10"/>
    </row>
    <row r="26" spans="1:18">
      <c r="C26" s="10"/>
      <c r="G26"/>
      <c r="O26" s="10"/>
      <c r="P26" s="10"/>
      <c r="Q26" s="10"/>
      <c r="R26" s="10"/>
    </row>
  </sheetData>
  <mergeCells count="1">
    <mergeCell ref="C1:I1"/>
  </mergeCells>
  <dataValidations count="1">
    <dataValidation type="list" allowBlank="1" showInputMessage="1" showErrorMessage="1" sqref="G18:G19 I18:I19 G20:J22 H6:H19 J6:J19" xr:uid="{257EEDB0-2C03-4933-B30E-A65C34D1472E}">
      <formula1>"Accommodating, Avoiding, Competing, Compromising, Collaborating"</formula1>
    </dataValidation>
  </dataValidations>
  <pageMargins left="0.7" right="0.7" top="0.75" bottom="0.75" header="0.3" footer="0.3"/>
  <pageSetup orientation="landscape" blackAndWhite="1" horizontalDpi="1200" verticalDpi="12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4E80-2DFF-449C-9D73-208146FFEACF}">
  <dimension ref="A1:J35"/>
  <sheetViews>
    <sheetView workbookViewId="0">
      <selection activeCell="D12" sqref="D12"/>
    </sheetView>
  </sheetViews>
  <sheetFormatPr defaultColWidth="11" defaultRowHeight="12.75"/>
  <cols>
    <col min="1" max="1" width="13.5703125" customWidth="1"/>
    <col min="2" max="4" width="9.140625"/>
    <col min="5" max="5" width="7.140625" customWidth="1"/>
    <col min="6" max="6" width="17.42578125" customWidth="1"/>
    <col min="7" max="7" width="17" customWidth="1"/>
    <col min="8" max="8" width="16.5703125" customWidth="1"/>
    <col min="9" max="9" width="17.140625" customWidth="1"/>
    <col min="10" max="10" width="18.85546875" customWidth="1"/>
  </cols>
  <sheetData>
    <row r="1" spans="1:3" ht="33.75">
      <c r="A1" s="1" t="s">
        <v>48</v>
      </c>
    </row>
    <row r="2" spans="1:3">
      <c r="A2" t="s">
        <v>49</v>
      </c>
    </row>
    <row r="3" spans="1:3">
      <c r="A3" s="2"/>
      <c r="B3" s="2" t="s">
        <v>50</v>
      </c>
      <c r="C3" s="2" t="s">
        <v>51</v>
      </c>
    </row>
    <row r="4" spans="1:3">
      <c r="A4" s="3" t="s">
        <v>14</v>
      </c>
      <c r="B4" s="4">
        <v>5</v>
      </c>
      <c r="C4" s="4">
        <f>COUNTIF(Table6[[Least]:[2nd Least (is tied or to offset the tied mosts)]],"Accommodating")</f>
        <v>2</v>
      </c>
    </row>
    <row r="5" spans="1:3">
      <c r="A5" s="3" t="s">
        <v>10</v>
      </c>
      <c r="B5" s="4">
        <v>4</v>
      </c>
      <c r="C5" s="4">
        <v>0</v>
      </c>
    </row>
    <row r="6" spans="1:3">
      <c r="A6" s="5" t="s">
        <v>11</v>
      </c>
      <c r="B6" s="6">
        <v>4</v>
      </c>
      <c r="C6" s="6">
        <v>5</v>
      </c>
    </row>
    <row r="7" spans="1:3">
      <c r="A7" s="3" t="s">
        <v>12</v>
      </c>
      <c r="B7" s="4">
        <f>COUNTIF(Table6[[Most]:[2nd Most (If Tied or to offset tied Least)]],"Compromising")</f>
        <v>3</v>
      </c>
      <c r="C7" s="4">
        <v>4</v>
      </c>
    </row>
    <row r="8" spans="1:3">
      <c r="A8" s="5" t="s">
        <v>13</v>
      </c>
      <c r="B8" s="6">
        <v>1</v>
      </c>
      <c r="C8" s="6">
        <v>5</v>
      </c>
    </row>
    <row r="9" spans="1:3">
      <c r="B9" s="7"/>
      <c r="C9" s="7"/>
    </row>
    <row r="10" spans="1:3">
      <c r="B10" s="7">
        <f>SUM(B4:B9)</f>
        <v>17</v>
      </c>
      <c r="C10" s="7">
        <f>SUM(C4:C9)</f>
        <v>16</v>
      </c>
    </row>
    <row r="23" spans="6:10" ht="16.5" customHeight="1"/>
    <row r="24" spans="6:10" ht="14.1" customHeight="1"/>
    <row r="26" spans="6:10" ht="14.25">
      <c r="F26" s="21"/>
      <c r="G26" s="21"/>
      <c r="H26" s="21"/>
      <c r="I26" s="21"/>
      <c r="J26" s="21"/>
    </row>
    <row r="35" spans="1:1">
      <c r="A35" s="8">
        <v>43283</v>
      </c>
    </row>
  </sheetData>
  <autoFilter ref="A4:C8" xr:uid="{00000000-0001-0000-0100-000000000000}">
    <sortState xmlns:xlrd2="http://schemas.microsoft.com/office/spreadsheetml/2017/richdata2" ref="A5:C8">
      <sortCondition descending="1" ref="B5:B8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725ccf-df03-4195-b247-89d3192cbd90" xsi:nil="true"/>
    <lcf76f155ced4ddcb4097134ff3c332f xmlns="168aa859-81a9-4704-8be3-bd46f7ffa66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C69DD60195B4FBA5C00BA1CE18BF1" ma:contentTypeVersion="14" ma:contentTypeDescription="Create a new document." ma:contentTypeScope="" ma:versionID="ebfca71fd3d197a47a1627ef06e52290">
  <xsd:schema xmlns:xsd="http://www.w3.org/2001/XMLSchema" xmlns:xs="http://www.w3.org/2001/XMLSchema" xmlns:p="http://schemas.microsoft.com/office/2006/metadata/properties" xmlns:ns2="168aa859-81a9-4704-8be3-bd46f7ffa66e" xmlns:ns3="a1725ccf-df03-4195-b247-89d3192cbd90" targetNamespace="http://schemas.microsoft.com/office/2006/metadata/properties" ma:root="true" ma:fieldsID="ff3c6f65af2c05bc9eb09f90b4e07643" ns2:_="" ns3:_="">
    <xsd:import namespace="168aa859-81a9-4704-8be3-bd46f7ffa66e"/>
    <xsd:import namespace="a1725ccf-df03-4195-b247-89d3192cb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a859-81a9-4704-8be3-bd46f7ffa6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9271f20-bf3b-423f-83e0-771f099dd1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25ccf-df03-4195-b247-89d3192cbd9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da91090-15f3-46fa-b9fb-5edc212d52ff}" ma:internalName="TaxCatchAll" ma:showField="CatchAllData" ma:web="a1725ccf-df03-4195-b247-89d3192cbd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FB684E-294B-4C38-BB2A-F63421C664FA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a1725ccf-df03-4195-b247-89d3192cbd90"/>
    <ds:schemaRef ds:uri="168aa859-81a9-4704-8be3-bd46f7ffa66e"/>
  </ds:schemaRefs>
</ds:datastoreItem>
</file>

<file path=customXml/itemProps2.xml><?xml version="1.0" encoding="utf-8"?>
<ds:datastoreItem xmlns:ds="http://schemas.openxmlformats.org/officeDocument/2006/customXml" ds:itemID="{78EEB585-AA94-4889-AC5C-52BF6E8EC3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F653E3-262C-42F9-BF6A-4A58B84C0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8aa859-81a9-4704-8be3-bd46f7ffa66e"/>
    <ds:schemaRef ds:uri="a1725ccf-df03-4195-b247-89d3192cb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Pre-work</vt:lpstr>
      <vt:lpstr>TKI Chart</vt:lpstr>
      <vt:lpstr>Pre-work - Attendees only</vt:lpstr>
      <vt:lpstr>TKI Chart- Attendees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JD Altamarino</cp:lastModifiedBy>
  <cp:revision/>
  <dcterms:created xsi:type="dcterms:W3CDTF">2017-09-27T21:18:58Z</dcterms:created>
  <dcterms:modified xsi:type="dcterms:W3CDTF">2023-12-01T07:46:10Z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0x010100CCDC69DD60195B4FBA5C00BA1CE18BF1</vt:lpwstr>
  </property>
  <property fmtid="{D5CDD505-2E9C-101B-9397-08002B2CF9AE}" pid="3" name="MediaServiceImageTags">
    <vt:lpwstr/>
  </property>
</Properties>
</file>