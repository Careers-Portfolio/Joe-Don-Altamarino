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cer\OneDrive - Watershed Associates, Inc\Archive\Documents\My Own\"/>
    </mc:Choice>
  </mc:AlternateContent>
  <xr:revisionPtr revIDLastSave="0" documentId="13_ncr:1_{FBB737E6-578F-4362-B265-AA0CF95606AC}" xr6:coauthVersionLast="47" xr6:coauthVersionMax="47" xr10:uidLastSave="{00000000-0000-0000-0000-000000000000}"/>
  <bookViews>
    <workbookView xWindow="-120" yWindow="-120" windowWidth="20730" windowHeight="11040" activeTab="4" xr2:uid="{D446460E-EE5C-42B2-B133-C2B860EA1E09}"/>
  </bookViews>
  <sheets>
    <sheet name="SURVEY COUNT" sheetId="2" r:id="rId1"/>
    <sheet name="NPS" sheetId="3" r:id="rId2"/>
    <sheet name="RFT" sheetId="5" r:id="rId3"/>
    <sheet name="RSAT" sheetId="6" r:id="rId4"/>
    <sheet name="VERBATIM" sheetId="7" r:id="rId5"/>
    <sheet name="raw" sheetId="1" r:id="rId6"/>
  </sheets>
  <definedNames>
    <definedName name="_xlnm._FilterDatabase" localSheetId="5" hidden="1">raw!$A$1:$N$31</definedName>
    <definedName name="Slicer_Date">#N/A</definedName>
    <definedName name="Slicer_Date1">#N/A</definedName>
    <definedName name="Slicer_Date11">#N/A</definedName>
    <definedName name="Slicer_Date111">#N/A</definedName>
    <definedName name="Slicer_Organization">#N/A</definedName>
    <definedName name="Slicer_Organization1">#N/A</definedName>
    <definedName name="Slicer_Organization11">#N/A</definedName>
    <definedName name="Slicer_Organization111">#N/A</definedName>
    <definedName name="Slicer_Program___Department">#N/A</definedName>
    <definedName name="Slicer_Program___Department1">#N/A</definedName>
    <definedName name="Slicer_Program___Department11">#N/A</definedName>
    <definedName name="Slicer_Program___Department111">#N/A</definedName>
    <definedName name="Slicer_Result_Category">#N/A</definedName>
    <definedName name="Slicer_Result_Category1">#N/A</definedName>
    <definedName name="Slicer_Result_Category2">#N/A</definedName>
    <definedName name="Slicer_Result_Category21">#N/A</definedName>
  </definedNames>
  <calcPr calcId="191029"/>
  <pivotCaches>
    <pivotCache cacheId="53"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2" i="1"/>
  <c r="I3" i="1"/>
  <c r="I4" i="1"/>
  <c r="I5" i="1"/>
  <c r="K5" i="1" s="1"/>
  <c r="I6" i="1"/>
  <c r="I7" i="1"/>
  <c r="I8" i="1"/>
  <c r="I9" i="1"/>
  <c r="I10" i="1"/>
  <c r="I11" i="1"/>
  <c r="I12" i="1"/>
  <c r="I13" i="1"/>
  <c r="I14" i="1"/>
  <c r="K14" i="1" s="1"/>
  <c r="I15" i="1"/>
  <c r="I16" i="1"/>
  <c r="I17" i="1"/>
  <c r="I18" i="1"/>
  <c r="I19" i="1"/>
  <c r="I20" i="1"/>
  <c r="K20" i="1" s="1"/>
  <c r="I21" i="1"/>
  <c r="K21" i="1" s="1"/>
  <c r="I22" i="1"/>
  <c r="K22" i="1" s="1"/>
  <c r="I23" i="1"/>
  <c r="I24" i="1"/>
  <c r="I25" i="1"/>
  <c r="I26" i="1"/>
  <c r="I27" i="1"/>
  <c r="I28" i="1"/>
  <c r="K28" i="1" s="1"/>
  <c r="I29" i="1"/>
  <c r="K29" i="1" s="1"/>
  <c r="I30" i="1"/>
  <c r="K30" i="1" s="1"/>
  <c r="I3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2" i="1"/>
  <c r="K12" i="1"/>
  <c r="K13" i="1"/>
  <c r="K27" i="1" l="1"/>
  <c r="K11" i="1"/>
  <c r="K19" i="1"/>
  <c r="K6" i="1"/>
  <c r="K26" i="1"/>
  <c r="K18" i="1"/>
  <c r="K25" i="1"/>
  <c r="K9" i="1"/>
  <c r="K24" i="1"/>
  <c r="K16" i="1"/>
  <c r="K8" i="1"/>
  <c r="K23" i="1"/>
  <c r="K15" i="1"/>
  <c r="K7" i="1"/>
  <c r="K10" i="1"/>
  <c r="K17" i="1"/>
  <c r="K31" i="1"/>
  <c r="K2" i="1"/>
  <c r="K4" i="1"/>
  <c r="K3" i="1"/>
</calcChain>
</file>

<file path=xl/sharedStrings.xml><?xml version="1.0" encoding="utf-8"?>
<sst xmlns="http://schemas.openxmlformats.org/spreadsheetml/2006/main" count="434" uniqueCount="85">
  <si>
    <t>Date</t>
  </si>
  <si>
    <t>Organization</t>
  </si>
  <si>
    <t>Program / Department</t>
  </si>
  <si>
    <t>Agent Name</t>
  </si>
  <si>
    <t>Metric</t>
  </si>
  <si>
    <t>Result Category</t>
  </si>
  <si>
    <t>Score</t>
  </si>
  <si>
    <t>Customer Comment</t>
  </si>
  <si>
    <t>Northstar Health</t>
  </si>
  <si>
    <t>Customer Support</t>
  </si>
  <si>
    <t>Maria Santos</t>
  </si>
  <si>
    <t>NPS</t>
  </si>
  <si>
    <t>Promoter</t>
  </si>
  <si>
    <t>Very helpful and explained the next steps clearly.</t>
  </si>
  <si>
    <t>Kevin Reyes</t>
  </si>
  <si>
    <t>RFT</t>
  </si>
  <si>
    <t>Pass</t>
  </si>
  <si>
    <t>Resolved on the first interaction without needing a transfer.</t>
  </si>
  <si>
    <t>Angela Cruz</t>
  </si>
  <si>
    <t>RSAT</t>
  </si>
  <si>
    <t>Satisfied</t>
  </si>
  <si>
    <t>Quick response and professional communication.</t>
  </si>
  <si>
    <t>Daniel Garcia</t>
  </si>
  <si>
    <t>The agent was patient and made the process easy.</t>
  </si>
  <si>
    <t>Clear instructions and friendly service.</t>
  </si>
  <si>
    <t>BrightPath Education</t>
  </si>
  <si>
    <t>Learner Support</t>
  </si>
  <si>
    <t>Joshua Lim</t>
  </si>
  <si>
    <t>He understood my concern immediately and solved it.</t>
  </si>
  <si>
    <t>Sofia Mendoza</t>
  </si>
  <si>
    <t>Everything was completed during the initial contact.</t>
  </si>
  <si>
    <t>Good service, although the wait time was a little long.</t>
  </si>
  <si>
    <t>Carlo Navarro</t>
  </si>
  <si>
    <t>Passive</t>
  </si>
  <si>
    <t>Issue was resolved, but I had to explain the situation twice.</t>
  </si>
  <si>
    <t>Helpful and courteous from start to finish.</t>
  </si>
  <si>
    <t>Apex Commerce</t>
  </si>
  <si>
    <t>Customer Experience</t>
  </si>
  <si>
    <t>John Dela Cruz</t>
  </si>
  <si>
    <t>Fast and professional response.</t>
  </si>
  <si>
    <t>Liza Fernandez</t>
  </si>
  <si>
    <t>The request was handled without escalation.</t>
  </si>
  <si>
    <t>Excellent communication and clear resolution.</t>
  </si>
  <si>
    <t>Mark Villanueva</t>
  </si>
  <si>
    <t>Detractor</t>
  </si>
  <si>
    <t>The issue took too long to resolve and required another follow-up.</t>
  </si>
  <si>
    <t>Good support overall, but response time could improve.</t>
  </si>
  <si>
    <t>Summit Utilities</t>
  </si>
  <si>
    <t>Customer Care</t>
  </si>
  <si>
    <t>Anne Torres</t>
  </si>
  <si>
    <t>Very knowledgeable and took ownership of the concern.</t>
  </si>
  <si>
    <t>Ryan Bautista</t>
  </si>
  <si>
    <t>No repeat contact was necessary.</t>
  </si>
  <si>
    <t>Professional, efficient, and easy to understand.</t>
  </si>
  <si>
    <t>Patrick Ramos</t>
  </si>
  <si>
    <t>Helpful agent, but the process itself was confusing.</t>
  </si>
  <si>
    <t>The issue was handled well after the initial delay.</t>
  </si>
  <si>
    <t>Vertex Software</t>
  </si>
  <si>
    <t>Technical Support</t>
  </si>
  <si>
    <t>Nicole Tan</t>
  </si>
  <si>
    <t>The troubleshooting steps were clear and effective.</t>
  </si>
  <si>
    <t>Eric Mendoza</t>
  </si>
  <si>
    <t>Solved during the first interaction.</t>
  </si>
  <si>
    <t>Strong technical knowledge and excellent communication.</t>
  </si>
  <si>
    <t>James Aquino</t>
  </si>
  <si>
    <t>The agent stayed with me until everything was working.</t>
  </si>
  <si>
    <t>Efficient and professional support.</t>
  </si>
  <si>
    <t>Harbor Financial</t>
  </si>
  <si>
    <t>Client Services</t>
  </si>
  <si>
    <t>Rachel Garcia</t>
  </si>
  <si>
    <t>Very reassuring and professional throughout the interaction.</t>
  </si>
  <si>
    <t>Michael Reyes</t>
  </si>
  <si>
    <t>The request was completed correctly the first time.</t>
  </si>
  <si>
    <t>Excellent service and clear explanation.</t>
  </si>
  <si>
    <t>Donna Flores</t>
  </si>
  <si>
    <t>I had to contact support again because the first response did not fully resolve it.</t>
  </si>
  <si>
    <t>Good resolution after the follow-up.</t>
  </si>
  <si>
    <t>Grand Total</t>
  </si>
  <si>
    <t>COUNT</t>
  </si>
  <si>
    <t>ORGANIZATION</t>
  </si>
  <si>
    <t>DEPARTMENT</t>
  </si>
  <si>
    <t>.</t>
  </si>
  <si>
    <t xml:space="preserve"> NPS</t>
  </si>
  <si>
    <t xml:space="preserve"> RFT</t>
  </si>
  <si>
    <t xml:space="preserve"> RSAT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</si>
</sst>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name val="Calibri"/>
    </font>
    <font>
      <sz val="2"/>
      <color theme="1"/>
      <name val="Calibri"/>
      <family val="2"/>
      <scheme val="minor"/>
    </font>
    <font>
      <b/>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0" fillId="0" borderId="0" xfId="0"/>
    <xf numFmtId="0" fontId="2"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pivotButton="1"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xf numFmtId="0" fontId="3" fillId="0" borderId="0" xfId="0" pivotButton="1" applyFont="1" applyAlignment="1">
      <alignment horizontal="center" vertical="center"/>
    </xf>
    <xf numFmtId="0" fontId="0" fillId="2" borderId="0" xfId="0" applyFill="1"/>
    <xf numFmtId="0" fontId="0" fillId="2" borderId="0" xfId="0" applyFill="1" applyAlignment="1">
      <alignment horizontal="center" vertical="center"/>
    </xf>
    <xf numFmtId="0" fontId="0" fillId="0" borderId="0" xfId="0" applyAlignment="1">
      <alignment horizontal="left" vertical="center"/>
    </xf>
    <xf numFmtId="0" fontId="4" fillId="0" borderId="1" xfId="0" applyFont="1" applyBorder="1" applyAlignment="1">
      <alignment horizontal="center" vertical="center"/>
    </xf>
    <xf numFmtId="9" fontId="0" fillId="0" borderId="0" xfId="1" applyFont="1" applyAlignment="1">
      <alignment horizontal="center" vertical="center"/>
    </xf>
    <xf numFmtId="10" fontId="0" fillId="0" borderId="0" xfId="0" applyNumberFormat="1" applyAlignment="1">
      <alignment horizontal="center" vertical="center"/>
    </xf>
    <xf numFmtId="0" fontId="0" fillId="0" borderId="0" xfId="0" applyAlignment="1">
      <alignment vertical="center"/>
    </xf>
    <xf numFmtId="0" fontId="0" fillId="2" borderId="2" xfId="0" applyFill="1" applyBorder="1" applyAlignment="1">
      <alignment horizontal="center" vertical="center"/>
    </xf>
    <xf numFmtId="0" fontId="0" fillId="2" borderId="2" xfId="0" applyFill="1" applyBorder="1"/>
    <xf numFmtId="16" fontId="2" fillId="0" borderId="1" xfId="0" applyNumberFormat="1" applyFont="1" applyBorder="1" applyAlignment="1">
      <alignment horizontal="center" vertical="top"/>
    </xf>
    <xf numFmtId="16" fontId="0" fillId="0" borderId="0" xfId="0" applyNumberFormat="1"/>
    <xf numFmtId="0" fontId="0" fillId="2" borderId="0" xfId="0" applyFill="1" applyBorder="1"/>
    <xf numFmtId="0" fontId="0" fillId="2" borderId="0" xfId="0" applyFill="1" applyBorder="1" applyAlignment="1">
      <alignment horizontal="center" vertical="center"/>
    </xf>
    <xf numFmtId="0" fontId="0" fillId="0" borderId="0" xfId="0" pivotButton="1" applyAlignment="1">
      <alignment horizontal="left" vertical="center" wrapText="1"/>
    </xf>
    <xf numFmtId="0" fontId="0" fillId="0" borderId="0" xfId="0" applyAlignment="1">
      <alignment horizontal="left" vertical="center" wrapText="1"/>
    </xf>
    <xf numFmtId="0" fontId="0" fillId="2" borderId="0" xfId="0" applyFill="1" applyBorder="1" applyAlignment="1">
      <alignment horizontal="left" vertical="center"/>
    </xf>
    <xf numFmtId="0" fontId="0" fillId="0" borderId="0" xfId="0" pivotButton="1" applyAlignment="1">
      <alignment horizontal="left" vertical="center"/>
    </xf>
    <xf numFmtId="0" fontId="0" fillId="2" borderId="0" xfId="0" applyFill="1" applyAlignment="1">
      <alignment horizontal="left" vertical="center"/>
    </xf>
    <xf numFmtId="0" fontId="0" fillId="2" borderId="0" xfId="0" applyFill="1" applyAlignment="1">
      <alignment horizontal="left" vertical="center" wrapText="1"/>
    </xf>
  </cellXfs>
  <cellStyles count="2">
    <cellStyle name="Normal" xfId="0" builtinId="0"/>
    <cellStyle name="Percent" xfId="1" builtinId="5"/>
  </cellStyles>
  <dxfs count="4550">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wrapText="1"/>
    </dxf>
    <dxf>
      <alignment wrapTex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general"/>
    </dxf>
    <dxf>
      <alignment horizontal="center"/>
    </dxf>
    <dxf>
      <alignment horizontal="center"/>
    </dxf>
    <dxf>
      <alignment horizontal="center"/>
    </dxf>
    <dxf>
      <alignment horizontal="center"/>
    </dxf>
    <dxf>
      <alignment horizontal="center"/>
    </dxf>
    <dxf>
      <alignment horizontal="center"/>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center"/>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4" formatCode="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4" formatCode="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4" formatCode="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4" formatCode="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4" formatCode="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4" formatCode="0.00%"/>
    </dxf>
    <dxf>
      <numFmt numFmtId="14" formatCode="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4" formatCode="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2"/>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microsoft.com/office/2007/relationships/slicerCache" Target="slicerCaches/slicerCache1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4.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microsoft.com/office/2007/relationships/slicerCache" Target="slicerCaches/slicerCache10.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9.xml"/><Relationship Id="rId20" Type="http://schemas.microsoft.com/office/2007/relationships/slicerCache" Target="slicerCaches/slicerCache1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8.xml"/><Relationship Id="rId23" Type="http://schemas.microsoft.com/office/2007/relationships/slicerCache" Target="slicerCaches/slicerCache16.xml"/><Relationship Id="rId10" Type="http://schemas.microsoft.com/office/2007/relationships/slicerCache" Target="slicerCaches/slicerCache3.xml"/><Relationship Id="rId19" Type="http://schemas.microsoft.com/office/2007/relationships/slicerCache" Target="slicerCaches/slicerCache12.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 Id="rId22" Type="http://schemas.microsoft.com/office/2007/relationships/slicerCache" Target="slicerCaches/slicerCache15.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Service Tracker.xlsx]SURVEY COUNT!PivotTable1</c:name>
    <c:fmtId val="4"/>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'SURVEY COUNT'!$C$3:$C$4</c:f>
              <c:strCache>
                <c:ptCount val="1"/>
                <c:pt idx="0">
                  <c:v>Detractor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'SURVEY COUNT'!$B$5:$B$11</c:f>
              <c:strCache>
                <c:ptCount val="6"/>
                <c:pt idx="0">
                  <c:v>Apex Commerce</c:v>
                </c:pt>
                <c:pt idx="1">
                  <c:v>BrightPath Education</c:v>
                </c:pt>
                <c:pt idx="2">
                  <c:v>Harbor Financial</c:v>
                </c:pt>
                <c:pt idx="3">
                  <c:v>Northstar Health</c:v>
                </c:pt>
                <c:pt idx="4">
                  <c:v>Summit Utilities</c:v>
                </c:pt>
                <c:pt idx="5">
                  <c:v>Vertex Software</c:v>
                </c:pt>
              </c:strCache>
            </c:strRef>
          </c:cat>
          <c:val>
            <c:numRef>
              <c:f>'SURVEY COUNT'!$C$5:$C$11</c:f>
              <c:numCache>
                <c:formatCode>General</c:formatCode>
                <c:ptCount val="6"/>
                <c:pt idx="0">
                  <c:v>1</c:v>
                </c:pt>
                <c:pt idx="2">
                  <c:v>1</c:v>
                </c:pt>
              </c:numCache>
            </c:numRef>
          </c:val>
          <c:extLst>
            <c:ext xmlns:c16="http://schemas.microsoft.com/office/drawing/2014/chart" uri="{C3380CC4-5D6E-409C-BE32-E72D297353CC}">
              <c16:uniqueId val="{00000000-6F23-47D5-BD0C-84A9064821D5}"/>
            </c:ext>
          </c:extLst>
        </c:ser>
        <c:ser>
          <c:idx val="1"/>
          <c:order val="1"/>
          <c:tx>
            <c:strRef>
              <c:f>'SURVEY COUNT'!$D$3:$D$4</c:f>
              <c:strCache>
                <c:ptCount val="1"/>
                <c:pt idx="0">
                  <c:v>Pass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'SURVEY COUNT'!$B$5:$B$11</c:f>
              <c:strCache>
                <c:ptCount val="6"/>
                <c:pt idx="0">
                  <c:v>Apex Commerce</c:v>
                </c:pt>
                <c:pt idx="1">
                  <c:v>BrightPath Education</c:v>
                </c:pt>
                <c:pt idx="2">
                  <c:v>Harbor Financial</c:v>
                </c:pt>
                <c:pt idx="3">
                  <c:v>Northstar Health</c:v>
                </c:pt>
                <c:pt idx="4">
                  <c:v>Summit Utilities</c:v>
                </c:pt>
                <c:pt idx="5">
                  <c:v>Vertex Software</c:v>
                </c:pt>
              </c:strCache>
            </c:strRef>
          </c:cat>
          <c:val>
            <c:numRef>
              <c:f>'SURVEY COUNT'!$D$5:$D$11</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6F23-47D5-BD0C-84A9064821D5}"/>
            </c:ext>
          </c:extLst>
        </c:ser>
        <c:ser>
          <c:idx val="2"/>
          <c:order val="2"/>
          <c:tx>
            <c:strRef>
              <c:f>'SURVEY COUNT'!$E$3:$E$4</c:f>
              <c:strCache>
                <c:ptCount val="1"/>
                <c:pt idx="0">
                  <c:v>Passive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'SURVEY COUNT'!$B$5:$B$11</c:f>
              <c:strCache>
                <c:ptCount val="6"/>
                <c:pt idx="0">
                  <c:v>Apex Commerce</c:v>
                </c:pt>
                <c:pt idx="1">
                  <c:v>BrightPath Education</c:v>
                </c:pt>
                <c:pt idx="2">
                  <c:v>Harbor Financial</c:v>
                </c:pt>
                <c:pt idx="3">
                  <c:v>Northstar Health</c:v>
                </c:pt>
                <c:pt idx="4">
                  <c:v>Summit Utilities</c:v>
                </c:pt>
                <c:pt idx="5">
                  <c:v>Vertex Software</c:v>
                </c:pt>
              </c:strCache>
            </c:strRef>
          </c:cat>
          <c:val>
            <c:numRef>
              <c:f>'SURVEY COUNT'!$E$5:$E$11</c:f>
              <c:numCache>
                <c:formatCode>General</c:formatCode>
                <c:ptCount val="6"/>
                <c:pt idx="1">
                  <c:v>1</c:v>
                </c:pt>
                <c:pt idx="4">
                  <c:v>1</c:v>
                </c:pt>
              </c:numCache>
            </c:numRef>
          </c:val>
          <c:extLst>
            <c:ext xmlns:c16="http://schemas.microsoft.com/office/drawing/2014/chart" uri="{C3380CC4-5D6E-409C-BE32-E72D297353CC}">
              <c16:uniqueId val="{00000002-6F23-47D5-BD0C-84A9064821D5}"/>
            </c:ext>
          </c:extLst>
        </c:ser>
        <c:ser>
          <c:idx val="3"/>
          <c:order val="3"/>
          <c:tx>
            <c:strRef>
              <c:f>'SURVEY COUNT'!$F$3:$F$4</c:f>
              <c:strCache>
                <c:ptCount val="1"/>
                <c:pt idx="0">
                  <c:v>Promoter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'SURVEY COUNT'!$B$5:$B$11</c:f>
              <c:strCache>
                <c:ptCount val="6"/>
                <c:pt idx="0">
                  <c:v>Apex Commerce</c:v>
                </c:pt>
                <c:pt idx="1">
                  <c:v>BrightPath Education</c:v>
                </c:pt>
                <c:pt idx="2">
                  <c:v>Harbor Financial</c:v>
                </c:pt>
                <c:pt idx="3">
                  <c:v>Northstar Health</c:v>
                </c:pt>
                <c:pt idx="4">
                  <c:v>Summit Utilities</c:v>
                </c:pt>
                <c:pt idx="5">
                  <c:v>Vertex Software</c:v>
                </c:pt>
              </c:strCache>
            </c:strRef>
          </c:cat>
          <c:val>
            <c:numRef>
              <c:f>'SURVEY COUNT'!$F$5:$F$11</c:f>
              <c:numCache>
                <c:formatCode>General</c:formatCode>
                <c:ptCount val="6"/>
                <c:pt idx="0">
                  <c:v>1</c:v>
                </c:pt>
                <c:pt idx="1">
                  <c:v>1</c:v>
                </c:pt>
                <c:pt idx="2">
                  <c:v>1</c:v>
                </c:pt>
                <c:pt idx="3">
                  <c:v>2</c:v>
                </c:pt>
                <c:pt idx="4">
                  <c:v>1</c:v>
                </c:pt>
                <c:pt idx="5">
                  <c:v>2</c:v>
                </c:pt>
              </c:numCache>
            </c:numRef>
          </c:val>
          <c:extLst>
            <c:ext xmlns:c16="http://schemas.microsoft.com/office/drawing/2014/chart" uri="{C3380CC4-5D6E-409C-BE32-E72D297353CC}">
              <c16:uniqueId val="{00000003-6F23-47D5-BD0C-84A9064821D5}"/>
            </c:ext>
          </c:extLst>
        </c:ser>
        <c:ser>
          <c:idx val="4"/>
          <c:order val="4"/>
          <c:tx>
            <c:strRef>
              <c:f>'SURVEY COUNT'!$G$3:$G$4</c:f>
              <c:strCache>
                <c:ptCount val="1"/>
                <c:pt idx="0">
                  <c:v>Satisfied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'SURVEY COUNT'!$B$5:$B$11</c:f>
              <c:strCache>
                <c:ptCount val="6"/>
                <c:pt idx="0">
                  <c:v>Apex Commerce</c:v>
                </c:pt>
                <c:pt idx="1">
                  <c:v>BrightPath Education</c:v>
                </c:pt>
                <c:pt idx="2">
                  <c:v>Harbor Financial</c:v>
                </c:pt>
                <c:pt idx="3">
                  <c:v>Northstar Health</c:v>
                </c:pt>
                <c:pt idx="4">
                  <c:v>Summit Utilities</c:v>
                </c:pt>
                <c:pt idx="5">
                  <c:v>Vertex Software</c:v>
                </c:pt>
              </c:strCache>
            </c:strRef>
          </c:cat>
          <c:val>
            <c:numRef>
              <c:f>'SURVEY COUNT'!$G$5:$G$11</c:f>
              <c:numCache>
                <c:formatCode>General</c:formatCode>
                <c:ptCount val="6"/>
                <c:pt idx="0">
                  <c:v>2</c:v>
                </c:pt>
                <c:pt idx="1">
                  <c:v>2</c:v>
                </c:pt>
                <c:pt idx="2">
                  <c:v>2</c:v>
                </c:pt>
                <c:pt idx="3">
                  <c:v>2</c:v>
                </c:pt>
                <c:pt idx="4">
                  <c:v>2</c:v>
                </c:pt>
                <c:pt idx="5">
                  <c:v>2</c:v>
                </c:pt>
              </c:numCache>
            </c:numRef>
          </c:val>
          <c:extLst>
            <c:ext xmlns:c16="http://schemas.microsoft.com/office/drawing/2014/chart" uri="{C3380CC4-5D6E-409C-BE32-E72D297353CC}">
              <c16:uniqueId val="{00000004-6F23-47D5-BD0C-84A9064821D5}"/>
            </c:ext>
          </c:extLst>
        </c:ser>
        <c:dLbls>
          <c:dLblPos val="ctr"/>
          <c:showLegendKey val="0"/>
          <c:showVal val="1"/>
          <c:showCatName val="0"/>
          <c:showSerName val="0"/>
          <c:showPercent val="0"/>
          <c:showBubbleSize val="0"/>
        </c:dLbls>
        <c:gapWidth val="150"/>
        <c:overlap val="100"/>
        <c:axId val="91374688"/>
        <c:axId val="1985647792"/>
      </c:barChart>
      <c:catAx>
        <c:axId val="9137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647792"/>
        <c:crosses val="autoZero"/>
        <c:auto val="1"/>
        <c:lblAlgn val="ctr"/>
        <c:lblOffset val="100"/>
        <c:noMultiLvlLbl val="0"/>
      </c:catAx>
      <c:valAx>
        <c:axId val="198564779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9137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Service Tracker.xlsx]SURVEY COUNT!PivotTable2</c:name>
    <c:fmtId val="3"/>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'SURVEY COUNT'!$C$14:$C$15</c:f>
              <c:strCache>
                <c:ptCount val="1"/>
                <c:pt idx="0">
                  <c:v>Detractor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'SURVEY COUNT'!$B$16:$B$22</c:f>
              <c:strCache>
                <c:ptCount val="6"/>
                <c:pt idx="0">
                  <c:v>Client Services</c:v>
                </c:pt>
                <c:pt idx="1">
                  <c:v>Customer Care</c:v>
                </c:pt>
                <c:pt idx="2">
                  <c:v>Customer Experience</c:v>
                </c:pt>
                <c:pt idx="3">
                  <c:v>Customer Support</c:v>
                </c:pt>
                <c:pt idx="4">
                  <c:v>Learner Support</c:v>
                </c:pt>
                <c:pt idx="5">
                  <c:v>Technical Support</c:v>
                </c:pt>
              </c:strCache>
            </c:strRef>
          </c:cat>
          <c:val>
            <c:numRef>
              <c:f>'SURVEY COUNT'!$C$16:$C$22</c:f>
              <c:numCache>
                <c:formatCode>General</c:formatCode>
                <c:ptCount val="6"/>
                <c:pt idx="0">
                  <c:v>1</c:v>
                </c:pt>
                <c:pt idx="2">
                  <c:v>1</c:v>
                </c:pt>
              </c:numCache>
            </c:numRef>
          </c:val>
          <c:extLst>
            <c:ext xmlns:c16="http://schemas.microsoft.com/office/drawing/2014/chart" uri="{C3380CC4-5D6E-409C-BE32-E72D297353CC}">
              <c16:uniqueId val="{00000000-3F69-4F2D-A184-5A261E4ED69F}"/>
            </c:ext>
          </c:extLst>
        </c:ser>
        <c:ser>
          <c:idx val="1"/>
          <c:order val="1"/>
          <c:tx>
            <c:strRef>
              <c:f>'SURVEY COUNT'!$D$14:$D$15</c:f>
              <c:strCache>
                <c:ptCount val="1"/>
                <c:pt idx="0">
                  <c:v>Pass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'SURVEY COUNT'!$B$16:$B$22</c:f>
              <c:strCache>
                <c:ptCount val="6"/>
                <c:pt idx="0">
                  <c:v>Client Services</c:v>
                </c:pt>
                <c:pt idx="1">
                  <c:v>Customer Care</c:v>
                </c:pt>
                <c:pt idx="2">
                  <c:v>Customer Experience</c:v>
                </c:pt>
                <c:pt idx="3">
                  <c:v>Customer Support</c:v>
                </c:pt>
                <c:pt idx="4">
                  <c:v>Learner Support</c:v>
                </c:pt>
                <c:pt idx="5">
                  <c:v>Technical Support</c:v>
                </c:pt>
              </c:strCache>
            </c:strRef>
          </c:cat>
          <c:val>
            <c:numRef>
              <c:f>'SURVEY COUNT'!$D$16:$D$22</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3F69-4F2D-A184-5A261E4ED69F}"/>
            </c:ext>
          </c:extLst>
        </c:ser>
        <c:ser>
          <c:idx val="2"/>
          <c:order val="2"/>
          <c:tx>
            <c:strRef>
              <c:f>'SURVEY COUNT'!$E$14:$E$15</c:f>
              <c:strCache>
                <c:ptCount val="1"/>
                <c:pt idx="0">
                  <c:v>Passive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'SURVEY COUNT'!$B$16:$B$22</c:f>
              <c:strCache>
                <c:ptCount val="6"/>
                <c:pt idx="0">
                  <c:v>Client Services</c:v>
                </c:pt>
                <c:pt idx="1">
                  <c:v>Customer Care</c:v>
                </c:pt>
                <c:pt idx="2">
                  <c:v>Customer Experience</c:v>
                </c:pt>
                <c:pt idx="3">
                  <c:v>Customer Support</c:v>
                </c:pt>
                <c:pt idx="4">
                  <c:v>Learner Support</c:v>
                </c:pt>
                <c:pt idx="5">
                  <c:v>Technical Support</c:v>
                </c:pt>
              </c:strCache>
            </c:strRef>
          </c:cat>
          <c:val>
            <c:numRef>
              <c:f>'SURVEY COUNT'!$E$16:$E$22</c:f>
              <c:numCache>
                <c:formatCode>General</c:formatCode>
                <c:ptCount val="6"/>
                <c:pt idx="1">
                  <c:v>1</c:v>
                </c:pt>
                <c:pt idx="4">
                  <c:v>1</c:v>
                </c:pt>
              </c:numCache>
            </c:numRef>
          </c:val>
          <c:extLst>
            <c:ext xmlns:c16="http://schemas.microsoft.com/office/drawing/2014/chart" uri="{C3380CC4-5D6E-409C-BE32-E72D297353CC}">
              <c16:uniqueId val="{00000002-3F69-4F2D-A184-5A261E4ED69F}"/>
            </c:ext>
          </c:extLst>
        </c:ser>
        <c:ser>
          <c:idx val="3"/>
          <c:order val="3"/>
          <c:tx>
            <c:strRef>
              <c:f>'SURVEY COUNT'!$F$14:$F$15</c:f>
              <c:strCache>
                <c:ptCount val="1"/>
                <c:pt idx="0">
                  <c:v>Promoter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'SURVEY COUNT'!$B$16:$B$22</c:f>
              <c:strCache>
                <c:ptCount val="6"/>
                <c:pt idx="0">
                  <c:v>Client Services</c:v>
                </c:pt>
                <c:pt idx="1">
                  <c:v>Customer Care</c:v>
                </c:pt>
                <c:pt idx="2">
                  <c:v>Customer Experience</c:v>
                </c:pt>
                <c:pt idx="3">
                  <c:v>Customer Support</c:v>
                </c:pt>
                <c:pt idx="4">
                  <c:v>Learner Support</c:v>
                </c:pt>
                <c:pt idx="5">
                  <c:v>Technical Support</c:v>
                </c:pt>
              </c:strCache>
            </c:strRef>
          </c:cat>
          <c:val>
            <c:numRef>
              <c:f>'SURVEY COUNT'!$F$16:$F$22</c:f>
              <c:numCache>
                <c:formatCode>General</c:formatCode>
                <c:ptCount val="6"/>
                <c:pt idx="0">
                  <c:v>1</c:v>
                </c:pt>
                <c:pt idx="1">
                  <c:v>1</c:v>
                </c:pt>
                <c:pt idx="2">
                  <c:v>1</c:v>
                </c:pt>
                <c:pt idx="3">
                  <c:v>2</c:v>
                </c:pt>
                <c:pt idx="4">
                  <c:v>1</c:v>
                </c:pt>
                <c:pt idx="5">
                  <c:v>2</c:v>
                </c:pt>
              </c:numCache>
            </c:numRef>
          </c:val>
          <c:extLst>
            <c:ext xmlns:c16="http://schemas.microsoft.com/office/drawing/2014/chart" uri="{C3380CC4-5D6E-409C-BE32-E72D297353CC}">
              <c16:uniqueId val="{00000003-3F69-4F2D-A184-5A261E4ED69F}"/>
            </c:ext>
          </c:extLst>
        </c:ser>
        <c:ser>
          <c:idx val="4"/>
          <c:order val="4"/>
          <c:tx>
            <c:strRef>
              <c:f>'SURVEY COUNT'!$G$14:$G$15</c:f>
              <c:strCache>
                <c:ptCount val="1"/>
                <c:pt idx="0">
                  <c:v>Satisfied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'SURVEY COUNT'!$B$16:$B$22</c:f>
              <c:strCache>
                <c:ptCount val="6"/>
                <c:pt idx="0">
                  <c:v>Client Services</c:v>
                </c:pt>
                <c:pt idx="1">
                  <c:v>Customer Care</c:v>
                </c:pt>
                <c:pt idx="2">
                  <c:v>Customer Experience</c:v>
                </c:pt>
                <c:pt idx="3">
                  <c:v>Customer Support</c:v>
                </c:pt>
                <c:pt idx="4">
                  <c:v>Learner Support</c:v>
                </c:pt>
                <c:pt idx="5">
                  <c:v>Technical Support</c:v>
                </c:pt>
              </c:strCache>
            </c:strRef>
          </c:cat>
          <c:val>
            <c:numRef>
              <c:f>'SURVEY COUNT'!$G$16:$G$22</c:f>
              <c:numCache>
                <c:formatCode>General</c:formatCode>
                <c:ptCount val="6"/>
                <c:pt idx="0">
                  <c:v>2</c:v>
                </c:pt>
                <c:pt idx="1">
                  <c:v>2</c:v>
                </c:pt>
                <c:pt idx="2">
                  <c:v>2</c:v>
                </c:pt>
                <c:pt idx="3">
                  <c:v>2</c:v>
                </c:pt>
                <c:pt idx="4">
                  <c:v>2</c:v>
                </c:pt>
                <c:pt idx="5">
                  <c:v>2</c:v>
                </c:pt>
              </c:numCache>
            </c:numRef>
          </c:val>
          <c:extLst>
            <c:ext xmlns:c16="http://schemas.microsoft.com/office/drawing/2014/chart" uri="{C3380CC4-5D6E-409C-BE32-E72D297353CC}">
              <c16:uniqueId val="{00000004-3F69-4F2D-A184-5A261E4ED69F}"/>
            </c:ext>
          </c:extLst>
        </c:ser>
        <c:dLbls>
          <c:dLblPos val="ctr"/>
          <c:showLegendKey val="0"/>
          <c:showVal val="1"/>
          <c:showCatName val="0"/>
          <c:showSerName val="0"/>
          <c:showPercent val="0"/>
          <c:showBubbleSize val="0"/>
        </c:dLbls>
        <c:gapWidth val="150"/>
        <c:overlap val="100"/>
        <c:axId val="68521216"/>
        <c:axId val="1985634352"/>
      </c:barChart>
      <c:catAx>
        <c:axId val="68521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634352"/>
        <c:crosses val="autoZero"/>
        <c:auto val="1"/>
        <c:lblAlgn val="ctr"/>
        <c:lblOffset val="100"/>
        <c:noMultiLvlLbl val="0"/>
      </c:catAx>
      <c:valAx>
        <c:axId val="198563435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852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Service Tracker.xlsx]NPS!PivotTable4</c:name>
    <c:fmtId val="19"/>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41447944006999"/>
          <c:y val="7.7192872978920163E-2"/>
          <c:w val="0.83051137357830285"/>
          <c:h val="0.80297945927073777"/>
        </c:manualLayout>
      </c:layout>
      <c:lineChart>
        <c:grouping val="stacked"/>
        <c:varyColors val="0"/>
        <c:ser>
          <c:idx val="0"/>
          <c:order val="0"/>
          <c:tx>
            <c:strRef>
              <c:f>NPS!$E$9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NPS!$B$10:$D$41</c:f>
              <c:multiLvlStrCache>
                <c:ptCount val="19"/>
                <c:lvl>
                  <c:pt idx="0">
                    <c:v>John Dela Cruz</c:v>
                  </c:pt>
                  <c:pt idx="1">
                    <c:v>Liza Fernandez</c:v>
                  </c:pt>
                  <c:pt idx="2">
                    <c:v>Mark Villanueva</c:v>
                  </c:pt>
                  <c:pt idx="3">
                    <c:v>Carlo Navarro</c:v>
                  </c:pt>
                  <c:pt idx="4">
                    <c:v>Joshua Lim</c:v>
                  </c:pt>
                  <c:pt idx="5">
                    <c:v>Sofia Mendoza</c:v>
                  </c:pt>
                  <c:pt idx="6">
                    <c:v>Donna Flores</c:v>
                  </c:pt>
                  <c:pt idx="7">
                    <c:v>Michael Reyes</c:v>
                  </c:pt>
                  <c:pt idx="8">
                    <c:v>Rachel Garcia</c:v>
                  </c:pt>
                  <c:pt idx="9">
                    <c:v>Angela Cruz</c:v>
                  </c:pt>
                  <c:pt idx="10">
                    <c:v>Daniel Garcia</c:v>
                  </c:pt>
                  <c:pt idx="11">
                    <c:v>Kevin Reyes</c:v>
                  </c:pt>
                  <c:pt idx="12">
                    <c:v>Maria Santos</c:v>
                  </c:pt>
                  <c:pt idx="13">
                    <c:v>Anne Torres</c:v>
                  </c:pt>
                  <c:pt idx="14">
                    <c:v>Patrick Ramos</c:v>
                  </c:pt>
                  <c:pt idx="15">
                    <c:v>Ryan Bautista</c:v>
                  </c:pt>
                  <c:pt idx="16">
                    <c:v>Eric Mendoza</c:v>
                  </c:pt>
                  <c:pt idx="17">
                    <c:v>James Aquino</c:v>
                  </c:pt>
                  <c:pt idx="18">
                    <c:v>Nicole Tan</c:v>
                  </c:pt>
                </c:lvl>
                <c:lvl>
                  <c:pt idx="0">
                    <c:v>Customer Experience</c:v>
                  </c:pt>
                  <c:pt idx="3">
                    <c:v>Learner Support</c:v>
                  </c:pt>
                  <c:pt idx="6">
                    <c:v>Client Services</c:v>
                  </c:pt>
                  <c:pt idx="9">
                    <c:v>Customer Support</c:v>
                  </c:pt>
                  <c:pt idx="13">
                    <c:v>Customer Care</c:v>
                  </c:pt>
                  <c:pt idx="16">
                    <c:v>Technical Support</c:v>
                  </c:pt>
                </c:lvl>
                <c:lvl>
                  <c:pt idx="0">
                    <c:v>Apex Commerce</c:v>
                  </c:pt>
                  <c:pt idx="3">
                    <c:v>BrightPath Education</c:v>
                  </c:pt>
                  <c:pt idx="6">
                    <c:v>Harbor Financial</c:v>
                  </c:pt>
                  <c:pt idx="9">
                    <c:v>Northstar Health</c:v>
                  </c:pt>
                  <c:pt idx="13">
                    <c:v>Summit Utilities</c:v>
                  </c:pt>
                  <c:pt idx="16">
                    <c:v>Vertex Software</c:v>
                  </c:pt>
                </c:lvl>
              </c:multiLvlStrCache>
            </c:multiLvlStrRef>
          </c:cat>
          <c:val>
            <c:numRef>
              <c:f>NPS!$E$10:$E$41</c:f>
              <c:numCache>
                <c:formatCode>0.00%</c:formatCode>
                <c:ptCount val="19"/>
                <c:pt idx="0">
                  <c:v>1</c:v>
                </c:pt>
                <c:pt idx="2">
                  <c:v>-1</c:v>
                </c:pt>
                <c:pt idx="3">
                  <c:v>0</c:v>
                </c:pt>
                <c:pt idx="4">
                  <c:v>1</c:v>
                </c:pt>
                <c:pt idx="6">
                  <c:v>-1</c:v>
                </c:pt>
                <c:pt idx="8">
                  <c:v>1</c:v>
                </c:pt>
                <c:pt idx="10">
                  <c:v>1</c:v>
                </c:pt>
                <c:pt idx="12">
                  <c:v>1</c:v>
                </c:pt>
                <c:pt idx="13">
                  <c:v>1</c:v>
                </c:pt>
                <c:pt idx="14">
                  <c:v>0</c:v>
                </c:pt>
                <c:pt idx="17">
                  <c:v>1</c:v>
                </c:pt>
                <c:pt idx="18">
                  <c:v>1</c:v>
                </c:pt>
              </c:numCache>
            </c:numRef>
          </c:val>
          <c:smooth val="0"/>
          <c:extLst>
            <c:ext xmlns:c16="http://schemas.microsoft.com/office/drawing/2014/chart" uri="{C3380CC4-5D6E-409C-BE32-E72D297353CC}">
              <c16:uniqueId val="{00000000-20D7-428F-A2BB-36126836A408}"/>
            </c:ext>
          </c:extLst>
        </c:ser>
        <c:dLbls>
          <c:showLegendKey val="0"/>
          <c:showVal val="0"/>
          <c:showCatName val="0"/>
          <c:showSerName val="0"/>
          <c:showPercent val="0"/>
          <c:showBubbleSize val="0"/>
        </c:dLbls>
        <c:marker val="1"/>
        <c:smooth val="0"/>
        <c:axId val="68558800"/>
        <c:axId val="1985439952"/>
      </c:lineChart>
      <c:catAx>
        <c:axId val="68558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39952"/>
        <c:crosses val="autoZero"/>
        <c:auto val="1"/>
        <c:lblAlgn val="ctr"/>
        <c:lblOffset val="100"/>
        <c:noMultiLvlLbl val="0"/>
      </c:catAx>
      <c:valAx>
        <c:axId val="1985439952"/>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8800"/>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[Customer Service Tracker.xlsx]RFT!PivotTable4</c:name>
    <c:fmtId val="24"/>
  </c:pivotSource>
  <c:chart>
    <c:autoTitleDeleted val="1"/>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41447944006999"/>
          <c:y val="7.7192872978920163E-2"/>
          <c:w val="0.83051137357830285"/>
          <c:h val="0.80297945927073777"/>
        </c:manualLayout>
      </c:layout>
      <c:lineChart>
        <c:grouping val="stacked"/>
        <c:varyColors val="0"/>
        <c:ser>
          <c:idx val="0"/>
          <c:order val="0"/>
          <c:tx>
            <c:strRef>
              <c:f>RFT!$E$9</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RFT!$B$10:$D$41</c:f>
              <c:multiLvlStrCache>
                <c:ptCount val="19"/>
                <c:lvl>
                  <c:pt idx="0">
                    <c:v>John Dela Cruz</c:v>
                  </c:pt>
                  <c:pt idx="1">
                    <c:v>Liza Fernandez</c:v>
                  </c:pt>
                  <c:pt idx="2">
                    <c:v>Mark Villanueva</c:v>
                  </c:pt>
                  <c:pt idx="3">
                    <c:v>Carlo Navarro</c:v>
                  </c:pt>
                  <c:pt idx="4">
                    <c:v>Joshua Lim</c:v>
                  </c:pt>
                  <c:pt idx="5">
                    <c:v>Sofia Mendoza</c:v>
                  </c:pt>
                  <c:pt idx="6">
                    <c:v>Donna Flores</c:v>
                  </c:pt>
                  <c:pt idx="7">
                    <c:v>Michael Reyes</c:v>
                  </c:pt>
                  <c:pt idx="8">
                    <c:v>Rachel Garcia</c:v>
                  </c:pt>
                  <c:pt idx="9">
                    <c:v>Angela Cruz</c:v>
                  </c:pt>
                  <c:pt idx="10">
                    <c:v>Daniel Garcia</c:v>
                  </c:pt>
                  <c:pt idx="11">
                    <c:v>Kevin Reyes</c:v>
                  </c:pt>
                  <c:pt idx="12">
                    <c:v>Maria Santos</c:v>
                  </c:pt>
                  <c:pt idx="13">
                    <c:v>Anne Torres</c:v>
                  </c:pt>
                  <c:pt idx="14">
                    <c:v>Patrick Ramos</c:v>
                  </c:pt>
                  <c:pt idx="15">
                    <c:v>Ryan Bautista</c:v>
                  </c:pt>
                  <c:pt idx="16">
                    <c:v>Eric Mendoza</c:v>
                  </c:pt>
                  <c:pt idx="17">
                    <c:v>James Aquino</c:v>
                  </c:pt>
                  <c:pt idx="18">
                    <c:v>Nicole Tan</c:v>
                  </c:pt>
                </c:lvl>
                <c:lvl>
                  <c:pt idx="0">
                    <c:v>Customer Experience</c:v>
                  </c:pt>
                  <c:pt idx="3">
                    <c:v>Learner Support</c:v>
                  </c:pt>
                  <c:pt idx="6">
                    <c:v>Client Services</c:v>
                  </c:pt>
                  <c:pt idx="9">
                    <c:v>Customer Support</c:v>
                  </c:pt>
                  <c:pt idx="13">
                    <c:v>Customer Care</c:v>
                  </c:pt>
                  <c:pt idx="16">
                    <c:v>Technical Support</c:v>
                  </c:pt>
                </c:lvl>
                <c:lvl>
                  <c:pt idx="0">
                    <c:v>Apex Commerce</c:v>
                  </c:pt>
                  <c:pt idx="3">
                    <c:v>BrightPath Education</c:v>
                  </c:pt>
                  <c:pt idx="6">
                    <c:v>Harbor Financial</c:v>
                  </c:pt>
                  <c:pt idx="9">
                    <c:v>Northstar Health</c:v>
                  </c:pt>
                  <c:pt idx="13">
                    <c:v>Summit Utilities</c:v>
                  </c:pt>
                  <c:pt idx="16">
                    <c:v>Vertex Software</c:v>
                  </c:pt>
                </c:lvl>
              </c:multiLvlStrCache>
            </c:multiLvlStrRef>
          </c:cat>
          <c:val>
            <c:numRef>
              <c:f>RFT!$E$10:$E$41</c:f>
              <c:numCache>
                <c:formatCode>0.00%</c:formatCode>
                <c:ptCount val="19"/>
                <c:pt idx="1">
                  <c:v>0.97</c:v>
                </c:pt>
                <c:pt idx="5">
                  <c:v>0.94000000000000006</c:v>
                </c:pt>
                <c:pt idx="7">
                  <c:v>0.96</c:v>
                </c:pt>
                <c:pt idx="11">
                  <c:v>0.96</c:v>
                </c:pt>
                <c:pt idx="15">
                  <c:v>0.95000000000000007</c:v>
                </c:pt>
                <c:pt idx="16">
                  <c:v>0.93</c:v>
                </c:pt>
              </c:numCache>
            </c:numRef>
          </c:val>
          <c:smooth val="0"/>
          <c:extLst>
            <c:ext xmlns:c16="http://schemas.microsoft.com/office/drawing/2014/chart" uri="{C3380CC4-5D6E-409C-BE32-E72D297353CC}">
              <c16:uniqueId val="{00000001-792A-4393-B8E2-AD7FDF081C38}"/>
            </c:ext>
          </c:extLst>
        </c:ser>
        <c:dLbls>
          <c:showLegendKey val="0"/>
          <c:showVal val="0"/>
          <c:showCatName val="0"/>
          <c:showSerName val="0"/>
          <c:showPercent val="0"/>
          <c:showBubbleSize val="0"/>
        </c:dLbls>
        <c:marker val="1"/>
        <c:smooth val="0"/>
        <c:axId val="68558800"/>
        <c:axId val="1985439952"/>
      </c:lineChart>
      <c:catAx>
        <c:axId val="68558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39952"/>
        <c:crosses val="autoZero"/>
        <c:auto val="1"/>
        <c:lblAlgn val="ctr"/>
        <c:lblOffset val="100"/>
        <c:noMultiLvlLbl val="0"/>
      </c:catAx>
      <c:valAx>
        <c:axId val="1985439952"/>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8800"/>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[Customer Service Tracker.xlsx]RSAT!PivotTable4</c:name>
    <c:fmtId val="29"/>
  </c:pivotSource>
  <c:chart>
    <c:autoTitleDeleted val="1"/>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41447944006999"/>
          <c:y val="7.7192872978920163E-2"/>
          <c:w val="0.83051137357830285"/>
          <c:h val="0.80297945927073777"/>
        </c:manualLayout>
      </c:layout>
      <c:lineChart>
        <c:grouping val="stacked"/>
        <c:varyColors val="0"/>
        <c:ser>
          <c:idx val="0"/>
          <c:order val="0"/>
          <c:tx>
            <c:strRef>
              <c:f>RSAT!$E$9</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RSAT!$B$10:$D$41</c:f>
              <c:multiLvlStrCache>
                <c:ptCount val="19"/>
                <c:lvl>
                  <c:pt idx="0">
                    <c:v>John Dela Cruz</c:v>
                  </c:pt>
                  <c:pt idx="1">
                    <c:v>Liza Fernandez</c:v>
                  </c:pt>
                  <c:pt idx="2">
                    <c:v>Mark Villanueva</c:v>
                  </c:pt>
                  <c:pt idx="3">
                    <c:v>Carlo Navarro</c:v>
                  </c:pt>
                  <c:pt idx="4">
                    <c:v>Joshua Lim</c:v>
                  </c:pt>
                  <c:pt idx="5">
                    <c:v>Sofia Mendoza</c:v>
                  </c:pt>
                  <c:pt idx="6">
                    <c:v>Donna Flores</c:v>
                  </c:pt>
                  <c:pt idx="7">
                    <c:v>Michael Reyes</c:v>
                  </c:pt>
                  <c:pt idx="8">
                    <c:v>Rachel Garcia</c:v>
                  </c:pt>
                  <c:pt idx="9">
                    <c:v>Angela Cruz</c:v>
                  </c:pt>
                  <c:pt idx="10">
                    <c:v>Daniel Garcia</c:v>
                  </c:pt>
                  <c:pt idx="11">
                    <c:v>Kevin Reyes</c:v>
                  </c:pt>
                  <c:pt idx="12">
                    <c:v>Maria Santos</c:v>
                  </c:pt>
                  <c:pt idx="13">
                    <c:v>Anne Torres</c:v>
                  </c:pt>
                  <c:pt idx="14">
                    <c:v>Patrick Ramos</c:v>
                  </c:pt>
                  <c:pt idx="15">
                    <c:v>Ryan Bautista</c:v>
                  </c:pt>
                  <c:pt idx="16">
                    <c:v>Eric Mendoza</c:v>
                  </c:pt>
                  <c:pt idx="17">
                    <c:v>James Aquino</c:v>
                  </c:pt>
                  <c:pt idx="18">
                    <c:v>Nicole Tan</c:v>
                  </c:pt>
                </c:lvl>
                <c:lvl>
                  <c:pt idx="0">
                    <c:v>Customer Experience</c:v>
                  </c:pt>
                  <c:pt idx="3">
                    <c:v>Learner Support</c:v>
                  </c:pt>
                  <c:pt idx="6">
                    <c:v>Client Services</c:v>
                  </c:pt>
                  <c:pt idx="9">
                    <c:v>Customer Support</c:v>
                  </c:pt>
                  <c:pt idx="13">
                    <c:v>Customer Care</c:v>
                  </c:pt>
                  <c:pt idx="16">
                    <c:v>Technical Support</c:v>
                  </c:pt>
                </c:lvl>
                <c:lvl>
                  <c:pt idx="0">
                    <c:v>Apex Commerce</c:v>
                  </c:pt>
                  <c:pt idx="3">
                    <c:v>BrightPath Education</c:v>
                  </c:pt>
                  <c:pt idx="6">
                    <c:v>Harbor Financial</c:v>
                  </c:pt>
                  <c:pt idx="9">
                    <c:v>Northstar Health</c:v>
                  </c:pt>
                  <c:pt idx="13">
                    <c:v>Summit Utilities</c:v>
                  </c:pt>
                  <c:pt idx="16">
                    <c:v>Vertex Software</c:v>
                  </c:pt>
                </c:lvl>
              </c:multiLvlStrCache>
            </c:multiLvlStrRef>
          </c:cat>
          <c:val>
            <c:numRef>
              <c:f>RSAT!$E$10:$E$41</c:f>
              <c:numCache>
                <c:formatCode>0.00%</c:formatCode>
                <c:ptCount val="19"/>
                <c:pt idx="0">
                  <c:v>1</c:v>
                </c:pt>
                <c:pt idx="1">
                  <c:v>1</c:v>
                </c:pt>
                <c:pt idx="4">
                  <c:v>1</c:v>
                </c:pt>
                <c:pt idx="5">
                  <c:v>1</c:v>
                </c:pt>
                <c:pt idx="7">
                  <c:v>1</c:v>
                </c:pt>
                <c:pt idx="8">
                  <c:v>1</c:v>
                </c:pt>
                <c:pt idx="9">
                  <c:v>1</c:v>
                </c:pt>
                <c:pt idx="12">
                  <c:v>1</c:v>
                </c:pt>
                <c:pt idx="13">
                  <c:v>1</c:v>
                </c:pt>
                <c:pt idx="15">
                  <c:v>1</c:v>
                </c:pt>
                <c:pt idx="16">
                  <c:v>1</c:v>
                </c:pt>
                <c:pt idx="18">
                  <c:v>1</c:v>
                </c:pt>
              </c:numCache>
            </c:numRef>
          </c:val>
          <c:smooth val="0"/>
          <c:extLst>
            <c:ext xmlns:c16="http://schemas.microsoft.com/office/drawing/2014/chart" uri="{C3380CC4-5D6E-409C-BE32-E72D297353CC}">
              <c16:uniqueId val="{00000001-5131-4D79-87CA-6C6ECF3240AD}"/>
            </c:ext>
          </c:extLst>
        </c:ser>
        <c:dLbls>
          <c:showLegendKey val="0"/>
          <c:showVal val="0"/>
          <c:showCatName val="0"/>
          <c:showSerName val="0"/>
          <c:showPercent val="0"/>
          <c:showBubbleSize val="0"/>
        </c:dLbls>
        <c:marker val="1"/>
        <c:smooth val="0"/>
        <c:axId val="68558800"/>
        <c:axId val="1985439952"/>
      </c:lineChart>
      <c:catAx>
        <c:axId val="68558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39952"/>
        <c:crosses val="autoZero"/>
        <c:auto val="1"/>
        <c:lblAlgn val="ctr"/>
        <c:lblOffset val="100"/>
        <c:noMultiLvlLbl val="0"/>
      </c:catAx>
      <c:valAx>
        <c:axId val="1985439952"/>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8800"/>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161925</xdr:colOff>
      <xdr:row>1</xdr:row>
      <xdr:rowOff>161925</xdr:rowOff>
    </xdr:from>
    <xdr:to>
      <xdr:col>21</xdr:col>
      <xdr:colOff>457200</xdr:colOff>
      <xdr:row>11</xdr:row>
      <xdr:rowOff>123825</xdr:rowOff>
    </xdr:to>
    <xdr:graphicFrame macro="">
      <xdr:nvGraphicFramePr>
        <xdr:cNvPr id="2" name="Chart 1">
          <a:extLst>
            <a:ext uri="{FF2B5EF4-FFF2-40B4-BE49-F238E27FC236}">
              <a16:creationId xmlns:a16="http://schemas.microsoft.com/office/drawing/2014/main" id="{14BA913F-3A89-7237-0A02-7B83DF06D9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171450</xdr:colOff>
      <xdr:row>12</xdr:row>
      <xdr:rowOff>166687</xdr:rowOff>
    </xdr:from>
    <xdr:to>
      <xdr:col>21</xdr:col>
      <xdr:colOff>447675</xdr:colOff>
      <xdr:row>23</xdr:row>
      <xdr:rowOff>9525</xdr:rowOff>
    </xdr:to>
    <xdr:graphicFrame macro="">
      <xdr:nvGraphicFramePr>
        <xdr:cNvPr id="3" name="Chart 2">
          <a:extLst>
            <a:ext uri="{FF2B5EF4-FFF2-40B4-BE49-F238E27FC236}">
              <a16:creationId xmlns:a16="http://schemas.microsoft.com/office/drawing/2014/main" id="{4028F25A-2F74-C65C-4E62-E003FA7DA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47625</xdr:colOff>
      <xdr:row>7</xdr:row>
      <xdr:rowOff>57149</xdr:rowOff>
    </xdr:from>
    <xdr:to>
      <xdr:col>13</xdr:col>
      <xdr:colOff>561</xdr:colOff>
      <xdr:row>16</xdr:row>
      <xdr:rowOff>44824</xdr:rowOff>
    </xdr:to>
    <xdr:sp macro="" textlink="">
      <xdr:nvSpPr>
        <xdr:cNvPr id="3" name="TextBox 2">
          <a:extLst>
            <a:ext uri="{FF2B5EF4-FFF2-40B4-BE49-F238E27FC236}">
              <a16:creationId xmlns:a16="http://schemas.microsoft.com/office/drawing/2014/main" id="{807BA8B9-36D1-AD6F-2CF0-781B53B0AEAC}"/>
            </a:ext>
          </a:extLst>
        </xdr:cNvPr>
        <xdr:cNvSpPr txBox="1"/>
      </xdr:nvSpPr>
      <xdr:spPr>
        <a:xfrm>
          <a:off x="5269566" y="1390649"/>
          <a:ext cx="4368054" cy="170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Highlights</a:t>
          </a:r>
        </a:p>
        <a:p>
          <a:pPr marL="171450" lvl="0" indent="-171450">
            <a:buFont typeface="Arial" panose="020B0604020202020204" pitchFamily="34" charset="0"/>
            <a:buChar char="•"/>
          </a:pPr>
          <a:r>
            <a:rPr lang="en-US" b="1"/>
            <a:t>Northstar Health — 100%:</a:t>
          </a:r>
          <a:r>
            <a:rPr lang="en-US"/>
            <a:t> Highest-performing organization in the comparison. </a:t>
          </a:r>
        </a:p>
        <a:p>
          <a:pPr marL="171450" lvl="0" indent="-171450">
            <a:buFont typeface="Arial" panose="020B0604020202020204" pitchFamily="34" charset="0"/>
            <a:buChar char="•"/>
          </a:pPr>
          <a:r>
            <a:rPr lang="en-US" b="1"/>
            <a:t>Vertex Software — 100%:</a:t>
          </a:r>
          <a:r>
            <a:rPr lang="en-US"/>
            <a:t> Matches Northstar with a perfect positive NPS result. </a:t>
          </a:r>
        </a:p>
        <a:p>
          <a:pPr marL="171450" lvl="0" indent="-171450">
            <a:buFont typeface="Arial" panose="020B0604020202020204" pitchFamily="34" charset="0"/>
            <a:buChar char="•"/>
          </a:pPr>
          <a:r>
            <a:rPr lang="en-US" b="1"/>
            <a:t>BrightPath Education and Summit Utilities — 50%:</a:t>
          </a:r>
          <a:r>
            <a:rPr lang="en-US"/>
            <a:t> Both demonstrate a positive promoter-to-detractor balance. </a:t>
          </a:r>
        </a:p>
        <a:p>
          <a:pPr marL="171450" lvl="0" indent="-171450">
            <a:buFont typeface="Arial" panose="020B0604020202020204" pitchFamily="34" charset="0"/>
            <a:buChar char="•"/>
          </a:pPr>
          <a:r>
            <a:rPr lang="en-US" b="1"/>
            <a:t>50% of the organizations achieved positive NPS above zero</a:t>
          </a:r>
          <a:r>
            <a:rPr lang="en-US"/>
            <a:t>, while the remaining organizations are at neutral.</a:t>
          </a:r>
        </a:p>
        <a:p>
          <a:endParaRPr lang="en-US" sz="1100"/>
        </a:p>
      </xdr:txBody>
    </xdr:sp>
    <xdr:clientData/>
  </xdr:twoCellAnchor>
  <xdr:twoCellAnchor>
    <xdr:from>
      <xdr:col>6</xdr:col>
      <xdr:colOff>47625</xdr:colOff>
      <xdr:row>16</xdr:row>
      <xdr:rowOff>103093</xdr:rowOff>
    </xdr:from>
    <xdr:to>
      <xdr:col>13</xdr:col>
      <xdr:colOff>560</xdr:colOff>
      <xdr:row>27</xdr:row>
      <xdr:rowOff>179294</xdr:rowOff>
    </xdr:to>
    <xdr:sp macro="" textlink="">
      <xdr:nvSpPr>
        <xdr:cNvPr id="4" name="TextBox 3">
          <a:extLst>
            <a:ext uri="{FF2B5EF4-FFF2-40B4-BE49-F238E27FC236}">
              <a16:creationId xmlns:a16="http://schemas.microsoft.com/office/drawing/2014/main" id="{656A52FD-53B1-8977-DA9F-C1DB61F8CDFE}"/>
            </a:ext>
          </a:extLst>
        </xdr:cNvPr>
        <xdr:cNvSpPr txBox="1"/>
      </xdr:nvSpPr>
      <xdr:spPr>
        <a:xfrm>
          <a:off x="5269566" y="3151093"/>
          <a:ext cx="4368053" cy="2171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Lowlights / Improvement Opportunities</a:t>
          </a:r>
        </a:p>
        <a:p>
          <a:pPr marL="171450" lvl="0" indent="-171450">
            <a:buFont typeface="Arial" panose="020B0604020202020204" pitchFamily="34" charset="0"/>
            <a:buChar char="•"/>
          </a:pPr>
          <a:r>
            <a:rPr lang="en-US" b="1"/>
            <a:t>Apex Commerce — 0%:</a:t>
          </a:r>
          <a:r>
            <a:rPr lang="en-US"/>
            <a:t> Neutral NPS indicates promoters and detractors are currently balanced. </a:t>
          </a:r>
        </a:p>
        <a:p>
          <a:pPr marL="171450" lvl="0" indent="-171450">
            <a:buFont typeface="Arial" panose="020B0604020202020204" pitchFamily="34" charset="0"/>
            <a:buChar char="•"/>
          </a:pPr>
          <a:r>
            <a:rPr lang="en-US" b="1"/>
            <a:t>Harbor Financial — 0%:</a:t>
          </a:r>
          <a:r>
            <a:rPr lang="en-US"/>
            <a:t> Also neutral, presenting an opportunity to convert passive/satisfied experiences into stronger advocacy. </a:t>
          </a:r>
        </a:p>
        <a:p>
          <a:pPr marL="171450" lvl="0" indent="-171450">
            <a:buFont typeface="Arial" panose="020B0604020202020204" pitchFamily="34" charset="0"/>
            <a:buChar char="•"/>
          </a:pPr>
          <a:r>
            <a:rPr lang="en-US" b="1"/>
            <a:t>Agent-level variation is significant:</a:t>
          </a:r>
          <a:r>
            <a:rPr lang="en-US"/>
            <a:t> Apex Commerce and Harbor Financial each contain a </a:t>
          </a:r>
          <a:r>
            <a:rPr lang="en-US" b="1"/>
            <a:t>−100% detractor result</a:t>
          </a:r>
          <a:r>
            <a:rPr lang="en-US"/>
            <a:t> alongside a </a:t>
          </a:r>
          <a:r>
            <a:rPr lang="en-US" b="1"/>
            <a:t>+100% promoter result</a:t>
          </a:r>
          <a:r>
            <a:rPr lang="en-US"/>
            <a:t>. This suggests inconsistent customer experiences that warrant deeper review. </a:t>
          </a:r>
        </a:p>
        <a:p>
          <a:pPr marL="171450" lvl="0" indent="-171450">
            <a:buFont typeface="Arial" panose="020B0604020202020204" pitchFamily="34" charset="0"/>
            <a:buChar char="•"/>
          </a:pPr>
          <a:r>
            <a:rPr lang="en-US" b="1"/>
            <a:t>Individual blanks should not be treated as zero:</a:t>
          </a:r>
          <a:r>
            <a:rPr lang="en-US"/>
            <a:t> Blank agent results indicate there is no NPS response available for that agent, rather than poor performance.</a:t>
          </a:r>
        </a:p>
        <a:p>
          <a:endParaRPr lang="en-US" sz="1100"/>
        </a:p>
      </xdr:txBody>
    </xdr:sp>
    <xdr:clientData/>
  </xdr:twoCellAnchor>
  <xdr:twoCellAnchor>
    <xdr:from>
      <xdr:col>6</xdr:col>
      <xdr:colOff>47625</xdr:colOff>
      <xdr:row>28</xdr:row>
      <xdr:rowOff>68357</xdr:rowOff>
    </xdr:from>
    <xdr:to>
      <xdr:col>13</xdr:col>
      <xdr:colOff>561</xdr:colOff>
      <xdr:row>35</xdr:row>
      <xdr:rowOff>56029</xdr:rowOff>
    </xdr:to>
    <xdr:sp macro="" textlink="">
      <xdr:nvSpPr>
        <xdr:cNvPr id="5" name="TextBox 4">
          <a:extLst>
            <a:ext uri="{FF2B5EF4-FFF2-40B4-BE49-F238E27FC236}">
              <a16:creationId xmlns:a16="http://schemas.microsoft.com/office/drawing/2014/main" id="{4720045F-3976-EE96-43D0-B3ABDBDEC987}"/>
            </a:ext>
          </a:extLst>
        </xdr:cNvPr>
        <xdr:cNvSpPr txBox="1"/>
      </xdr:nvSpPr>
      <xdr:spPr>
        <a:xfrm>
          <a:off x="5269566" y="5402357"/>
          <a:ext cx="4368054" cy="13211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Executive Summary</a:t>
          </a:r>
        </a:p>
        <a:p>
          <a:r>
            <a:rPr lang="en-US" b="0"/>
            <a:t>The overall NPS of 50% is a strong result, driven by Northstar Health and Vertex Software. The key opportunity is consistency: Apex Commerce and Harbor Financial should focus on understanding detractor experiences and identifying the practices used by the 100% NPS-performing teams that can be replicated across lower-performing accounts.</a:t>
          </a:r>
        </a:p>
        <a:p>
          <a:endParaRPr lang="en-US" sz="1100"/>
        </a:p>
      </xdr:txBody>
    </xdr:sp>
    <xdr:clientData/>
  </xdr:twoCellAnchor>
  <xdr:twoCellAnchor>
    <xdr:from>
      <xdr:col>13</xdr:col>
      <xdr:colOff>84043</xdr:colOff>
      <xdr:row>7</xdr:row>
      <xdr:rowOff>68354</xdr:rowOff>
    </xdr:from>
    <xdr:to>
      <xdr:col>20</xdr:col>
      <xdr:colOff>386602</xdr:colOff>
      <xdr:row>33</xdr:row>
      <xdr:rowOff>179293</xdr:rowOff>
    </xdr:to>
    <xdr:graphicFrame macro="">
      <xdr:nvGraphicFramePr>
        <xdr:cNvPr id="12" name="Chart 11">
          <a:extLst>
            <a:ext uri="{FF2B5EF4-FFF2-40B4-BE49-F238E27FC236}">
              <a16:creationId xmlns:a16="http://schemas.microsoft.com/office/drawing/2014/main" id="{149820A1-64F2-044F-A378-9C22AC4A1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161361</xdr:colOff>
      <xdr:row>0</xdr:row>
      <xdr:rowOff>114861</xdr:rowOff>
    </xdr:from>
    <xdr:to>
      <xdr:col>15</xdr:col>
      <xdr:colOff>470645</xdr:colOff>
      <xdr:row>7</xdr:row>
      <xdr:rowOff>8163</xdr:rowOff>
    </xdr:to>
    <xdr:grpSp>
      <xdr:nvGrpSpPr>
        <xdr:cNvPr id="14" name="Group 13">
          <a:extLst>
            <a:ext uri="{FF2B5EF4-FFF2-40B4-BE49-F238E27FC236}">
              <a16:creationId xmlns:a16="http://schemas.microsoft.com/office/drawing/2014/main" id="{2739524F-0A51-B56F-18B9-692C585C4C5B}"/>
            </a:ext>
          </a:extLst>
        </xdr:cNvPr>
        <xdr:cNvGrpSpPr>
          <a:grpSpLocks noChangeAspect="1"/>
        </xdr:cNvGrpSpPr>
      </xdr:nvGrpSpPr>
      <xdr:grpSpPr>
        <a:xfrm>
          <a:off x="161361" y="114861"/>
          <a:ext cx="11257431" cy="1226802"/>
          <a:chOff x="419099" y="92449"/>
          <a:chExt cx="11257431" cy="1226802"/>
        </a:xfrm>
      </xdr:grpSpPr>
      <xdr:grpSp>
        <xdr:nvGrpSpPr>
          <xdr:cNvPr id="11" name="Group 10">
            <a:extLst>
              <a:ext uri="{FF2B5EF4-FFF2-40B4-BE49-F238E27FC236}">
                <a16:creationId xmlns:a16="http://schemas.microsoft.com/office/drawing/2014/main" id="{E161008E-068B-48D4-9283-E30798946B21}"/>
              </a:ext>
            </a:extLst>
          </xdr:cNvPr>
          <xdr:cNvGrpSpPr>
            <a:grpSpLocks noChangeAspect="1"/>
          </xdr:cNvGrpSpPr>
        </xdr:nvGrpSpPr>
        <xdr:grpSpPr>
          <a:xfrm>
            <a:off x="419099" y="95250"/>
            <a:ext cx="9310121" cy="1224001"/>
            <a:chOff x="133349" y="47625"/>
            <a:chExt cx="9317965" cy="1224001"/>
          </a:xfrm>
        </xdr:grpSpPr>
        <mc:AlternateContent xmlns:mc="http://schemas.openxmlformats.org/markup-compatibility/2006">
          <mc:Choice xmlns:a14="http://schemas.microsoft.com/office/drawing/2010/main" Requires="a14">
            <xdr:graphicFrame macro="">
              <xdr:nvGraphicFramePr>
                <xdr:cNvPr id="6" name="Date">
                  <a:extLst>
                    <a:ext uri="{FF2B5EF4-FFF2-40B4-BE49-F238E27FC236}">
                      <a16:creationId xmlns:a16="http://schemas.microsoft.com/office/drawing/2014/main" id="{848E531E-244C-5CCA-0BFB-2D242781EF7E}"/>
                    </a:ext>
                  </a:extLst>
                </xdr:cNvPr>
                <xdr:cNvGraphicFramePr>
                  <a:graphicFrameLocks noChangeAspect="1"/>
                </xdr:cNvGraphicFramePr>
              </xdr:nvGraphicFramePr>
              <xdr:xfrm>
                <a:off x="133349" y="47626"/>
                <a:ext cx="3615942" cy="122400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61361" y="117663"/>
                  <a:ext cx="3612898"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Organization">
                  <a:extLst>
                    <a:ext uri="{FF2B5EF4-FFF2-40B4-BE49-F238E27FC236}">
                      <a16:creationId xmlns:a16="http://schemas.microsoft.com/office/drawing/2014/main" id="{C2A9CB55-816E-F4E6-1F58-763B09E5F764}"/>
                    </a:ext>
                  </a:extLst>
                </xdr:cNvPr>
                <xdr:cNvGraphicFramePr>
                  <a:graphicFrameLocks noChangeAspect="1"/>
                </xdr:cNvGraphicFramePr>
              </xdr:nvGraphicFramePr>
              <xdr:xfrm>
                <a:off x="3848099" y="47625"/>
                <a:ext cx="2438729" cy="1224000"/>
              </xdr:xfrm>
              <a:graphic>
                <a:graphicData uri="http://schemas.microsoft.com/office/drawing/2010/slicer">
                  <sle:slicer xmlns:sle="http://schemas.microsoft.com/office/drawing/2010/slicer" name="Organization"/>
                </a:graphicData>
              </a:graphic>
            </xdr:graphicFrame>
          </mc:Choice>
          <mc:Fallback>
            <xdr:sp macro="" textlink="">
              <xdr:nvSpPr>
                <xdr:cNvPr id="0" name=""/>
                <xdr:cNvSpPr>
                  <a:spLocks noTextEdit="1"/>
                </xdr:cNvSpPr>
              </xdr:nvSpPr>
              <xdr:spPr>
                <a:xfrm>
                  <a:off x="3872984" y="117662"/>
                  <a:ext cx="2436676"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Program / Department">
                  <a:extLst>
                    <a:ext uri="{FF2B5EF4-FFF2-40B4-BE49-F238E27FC236}">
                      <a16:creationId xmlns:a16="http://schemas.microsoft.com/office/drawing/2014/main" id="{50EE7D66-88CD-5F90-7B93-43ADD55C073B}"/>
                    </a:ext>
                  </a:extLst>
                </xdr:cNvPr>
                <xdr:cNvGraphicFramePr>
                  <a:graphicFrameLocks noChangeAspect="1"/>
                </xdr:cNvGraphicFramePr>
              </xdr:nvGraphicFramePr>
              <xdr:xfrm>
                <a:off x="6381750" y="47625"/>
                <a:ext cx="3069564" cy="1224000"/>
              </xdr:xfrm>
              <a:graphic>
                <a:graphicData uri="http://schemas.microsoft.com/office/drawing/2010/slicer">
                  <sle:slicer xmlns:sle="http://schemas.microsoft.com/office/drawing/2010/slicer" name="Program / Department"/>
                </a:graphicData>
              </a:graphic>
            </xdr:graphicFrame>
          </mc:Choice>
          <mc:Fallback>
            <xdr:sp macro="" textlink="">
              <xdr:nvSpPr>
                <xdr:cNvPr id="0" name=""/>
                <xdr:cNvSpPr>
                  <a:spLocks noTextEdit="1"/>
                </xdr:cNvSpPr>
              </xdr:nvSpPr>
              <xdr:spPr>
                <a:xfrm>
                  <a:off x="6404502" y="117662"/>
                  <a:ext cx="3066980"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a14="http://schemas.microsoft.com/office/drawing/2010/main" Requires="a14">
          <xdr:graphicFrame macro="">
            <xdr:nvGraphicFramePr>
              <xdr:cNvPr id="13" name="Result Category 1">
                <a:extLst>
                  <a:ext uri="{FF2B5EF4-FFF2-40B4-BE49-F238E27FC236}">
                    <a16:creationId xmlns:a16="http://schemas.microsoft.com/office/drawing/2014/main" id="{E4F34C68-CCE2-4F91-E9B4-648B09743F5A}"/>
                  </a:ext>
                </a:extLst>
              </xdr:cNvPr>
              <xdr:cNvGraphicFramePr>
                <a:graphicFrameLocks noChangeAspect="1"/>
              </xdr:cNvGraphicFramePr>
            </xdr:nvGraphicFramePr>
            <xdr:xfrm>
              <a:off x="9826440" y="92449"/>
              <a:ext cx="1850090" cy="1224000"/>
            </xdr:xfrm>
            <a:graphic>
              <a:graphicData uri="http://schemas.microsoft.com/office/drawing/2010/slicer">
                <sle:slicer xmlns:sle="http://schemas.microsoft.com/office/drawing/2010/slicer" name="Result Category 1"/>
              </a:graphicData>
            </a:graphic>
          </xdr:graphicFrame>
        </mc:Choice>
        <mc:Fallback>
          <xdr:sp macro="" textlink="">
            <xdr:nvSpPr>
              <xdr:cNvPr id="0" name=""/>
              <xdr:cNvSpPr>
                <a:spLocks noTextEdit="1"/>
              </xdr:cNvSpPr>
            </xdr:nvSpPr>
            <xdr:spPr>
              <a:xfrm>
                <a:off x="9568702" y="114861"/>
                <a:ext cx="1850090"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47625</xdr:colOff>
      <xdr:row>7</xdr:row>
      <xdr:rowOff>57149</xdr:rowOff>
    </xdr:from>
    <xdr:to>
      <xdr:col>13</xdr:col>
      <xdr:colOff>561</xdr:colOff>
      <xdr:row>16</xdr:row>
      <xdr:rowOff>44824</xdr:rowOff>
    </xdr:to>
    <xdr:sp macro="" textlink="">
      <xdr:nvSpPr>
        <xdr:cNvPr id="2" name="TextBox 1">
          <a:extLst>
            <a:ext uri="{FF2B5EF4-FFF2-40B4-BE49-F238E27FC236}">
              <a16:creationId xmlns:a16="http://schemas.microsoft.com/office/drawing/2014/main" id="{1CBA10CE-36F9-48E0-9B85-D63C7E52C2B9}"/>
            </a:ext>
          </a:extLst>
        </xdr:cNvPr>
        <xdr:cNvSpPr txBox="1"/>
      </xdr:nvSpPr>
      <xdr:spPr>
        <a:xfrm>
          <a:off x="5267325" y="1390649"/>
          <a:ext cx="4372536" cy="170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Highlights</a:t>
          </a:r>
        </a:p>
        <a:p>
          <a:pPr marL="171450" lvl="0" indent="-171450">
            <a:buFont typeface="Arial" panose="020B0604020202020204" pitchFamily="34" charset="0"/>
            <a:buChar char="•"/>
          </a:pPr>
          <a:r>
            <a:rPr lang="en-US" b="1"/>
            <a:t>Apex Commerce — 97%:</a:t>
          </a:r>
          <a:r>
            <a:rPr lang="en-US"/>
            <a:t> Highest RFT performance, indicating strong first-time handling effectiveness. </a:t>
          </a:r>
        </a:p>
        <a:p>
          <a:pPr marL="171450" lvl="0" indent="-171450">
            <a:buFont typeface="Arial" panose="020B0604020202020204" pitchFamily="34" charset="0"/>
            <a:buChar char="•"/>
          </a:pPr>
          <a:r>
            <a:rPr lang="en-US" b="1"/>
            <a:t>Harbor Financial &amp; Northstar Health — 96%:</a:t>
          </a:r>
          <a:r>
            <a:rPr lang="en-US"/>
            <a:t> Both are performing above the overall average. </a:t>
          </a:r>
        </a:p>
        <a:p>
          <a:pPr marL="171450" lvl="0" indent="-171450">
            <a:buFont typeface="Arial" panose="020B0604020202020204" pitchFamily="34" charset="0"/>
            <a:buChar char="•"/>
          </a:pPr>
          <a:r>
            <a:rPr lang="en-US" b="1"/>
            <a:t>Summit Utilities — 95%:</a:t>
          </a:r>
          <a:r>
            <a:rPr lang="en-US"/>
            <a:t> Closely aligned with the overall portfolio result. </a:t>
          </a:r>
        </a:p>
        <a:p>
          <a:pPr marL="171450" lvl="0" indent="-171450">
            <a:buFont typeface="Arial" panose="020B0604020202020204" pitchFamily="34" charset="0"/>
            <a:buChar char="•"/>
          </a:pPr>
          <a:r>
            <a:rPr lang="en-US"/>
            <a:t>Overall, </a:t>
          </a:r>
          <a:r>
            <a:rPr lang="en-US" b="1"/>
            <a:t>all six organizations are at 93% or higher</a:t>
          </a:r>
          <a:r>
            <a:rPr lang="en-US"/>
            <a:t>, showing consistently strong first-time resolution performance.</a:t>
          </a:r>
        </a:p>
      </xdr:txBody>
    </xdr:sp>
    <xdr:clientData/>
  </xdr:twoCellAnchor>
  <xdr:twoCellAnchor>
    <xdr:from>
      <xdr:col>6</xdr:col>
      <xdr:colOff>47625</xdr:colOff>
      <xdr:row>16</xdr:row>
      <xdr:rowOff>103093</xdr:rowOff>
    </xdr:from>
    <xdr:to>
      <xdr:col>13</xdr:col>
      <xdr:colOff>560</xdr:colOff>
      <xdr:row>25</xdr:row>
      <xdr:rowOff>44824</xdr:rowOff>
    </xdr:to>
    <xdr:sp macro="" textlink="">
      <xdr:nvSpPr>
        <xdr:cNvPr id="3" name="TextBox 2">
          <a:extLst>
            <a:ext uri="{FF2B5EF4-FFF2-40B4-BE49-F238E27FC236}">
              <a16:creationId xmlns:a16="http://schemas.microsoft.com/office/drawing/2014/main" id="{8F69DC29-22E0-4B10-A3DD-01FE0B77C223}"/>
            </a:ext>
          </a:extLst>
        </xdr:cNvPr>
        <xdr:cNvSpPr txBox="1"/>
      </xdr:nvSpPr>
      <xdr:spPr>
        <a:xfrm>
          <a:off x="5224743" y="3151093"/>
          <a:ext cx="4368052" cy="16562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Lowlights / Improvement Opportunities</a:t>
          </a:r>
        </a:p>
        <a:p>
          <a:pPr marL="171450" lvl="0" indent="-171450">
            <a:buFont typeface="Arial" panose="020B0604020202020204" pitchFamily="34" charset="0"/>
            <a:buChar char="•"/>
          </a:pPr>
          <a:r>
            <a:rPr lang="en-US" b="1"/>
            <a:t>Vertex Software — 93%:</a:t>
          </a:r>
          <a:r>
            <a:rPr lang="en-US"/>
            <a:t> Lowest RFT among the organizations, although still a relatively strong result. </a:t>
          </a:r>
        </a:p>
        <a:p>
          <a:pPr marL="171450" lvl="0" indent="-171450">
            <a:buFont typeface="Arial" panose="020B0604020202020204" pitchFamily="34" charset="0"/>
            <a:buChar char="•"/>
          </a:pPr>
          <a:r>
            <a:rPr lang="en-US" b="1"/>
            <a:t>BrightPath Education — 94%:</a:t>
          </a:r>
          <a:r>
            <a:rPr lang="en-US"/>
            <a:t> Slightly below the 95.17% overall result and represents another opportunity for improvement. </a:t>
          </a:r>
        </a:p>
        <a:p>
          <a:pPr marL="171450" lvl="0" indent="-171450">
            <a:buFont typeface="Arial" panose="020B0604020202020204" pitchFamily="34" charset="0"/>
            <a:buChar char="•"/>
          </a:pPr>
          <a:r>
            <a:rPr lang="en-US"/>
            <a:t>The </a:t>
          </a:r>
          <a:r>
            <a:rPr lang="en-US" b="1"/>
            <a:t>4.17 percentage-point gap</a:t>
          </a:r>
          <a:r>
            <a:rPr lang="en-US"/>
            <a:t> between the highest (97%) and lowest (93%) organizations suggests there is some performance variation that could be addressed through process, knowledge, or coaching improvements.</a:t>
          </a:r>
        </a:p>
        <a:p>
          <a:endParaRPr lang="en-US" sz="1100"/>
        </a:p>
      </xdr:txBody>
    </xdr:sp>
    <xdr:clientData/>
  </xdr:twoCellAnchor>
  <xdr:twoCellAnchor>
    <xdr:from>
      <xdr:col>6</xdr:col>
      <xdr:colOff>47625</xdr:colOff>
      <xdr:row>25</xdr:row>
      <xdr:rowOff>113179</xdr:rowOff>
    </xdr:from>
    <xdr:to>
      <xdr:col>13</xdr:col>
      <xdr:colOff>561</xdr:colOff>
      <xdr:row>31</xdr:row>
      <xdr:rowOff>100851</xdr:rowOff>
    </xdr:to>
    <xdr:sp macro="" textlink="">
      <xdr:nvSpPr>
        <xdr:cNvPr id="4" name="TextBox 3">
          <a:extLst>
            <a:ext uri="{FF2B5EF4-FFF2-40B4-BE49-F238E27FC236}">
              <a16:creationId xmlns:a16="http://schemas.microsoft.com/office/drawing/2014/main" id="{4580ED7B-5C01-4276-8F5B-AA19B5879601}"/>
            </a:ext>
          </a:extLst>
        </xdr:cNvPr>
        <xdr:cNvSpPr txBox="1"/>
      </xdr:nvSpPr>
      <xdr:spPr>
        <a:xfrm>
          <a:off x="5224743" y="4875679"/>
          <a:ext cx="4368053" cy="11306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Executive Summary</a:t>
          </a:r>
        </a:p>
        <a:p>
          <a:r>
            <a:rPr lang="en-US"/>
            <a:t>RFT performance is a clear strength, with a 95.17% overall result. Apex Commerce leads at 97%, while Vertex Software trails at 93%. The primary opportunity is to identify the practices supporting the highest-performing account and replicate them in lower-performing programs while maintaining the already strong overall resolution rate.</a:t>
          </a:r>
          <a:endParaRPr lang="en-US" sz="1100"/>
        </a:p>
      </xdr:txBody>
    </xdr:sp>
    <xdr:clientData/>
  </xdr:twoCellAnchor>
  <xdr:twoCellAnchor>
    <xdr:from>
      <xdr:col>13</xdr:col>
      <xdr:colOff>84043</xdr:colOff>
      <xdr:row>7</xdr:row>
      <xdr:rowOff>68354</xdr:rowOff>
    </xdr:from>
    <xdr:to>
      <xdr:col>20</xdr:col>
      <xdr:colOff>386602</xdr:colOff>
      <xdr:row>33</xdr:row>
      <xdr:rowOff>179293</xdr:rowOff>
    </xdr:to>
    <xdr:graphicFrame macro="">
      <xdr:nvGraphicFramePr>
        <xdr:cNvPr id="9" name="Chart 8">
          <a:extLst>
            <a:ext uri="{FF2B5EF4-FFF2-40B4-BE49-F238E27FC236}">
              <a16:creationId xmlns:a16="http://schemas.microsoft.com/office/drawing/2014/main" id="{A6343DD4-F2C5-4B53-A52E-C7BBC4956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4479</xdr:colOff>
      <xdr:row>0</xdr:row>
      <xdr:rowOff>114860</xdr:rowOff>
    </xdr:from>
    <xdr:to>
      <xdr:col>16</xdr:col>
      <xdr:colOff>78439</xdr:colOff>
      <xdr:row>7</xdr:row>
      <xdr:rowOff>8163</xdr:rowOff>
    </xdr:to>
    <xdr:grpSp>
      <xdr:nvGrpSpPr>
        <xdr:cNvPr id="12" name="Group 11">
          <a:extLst>
            <a:ext uri="{FF2B5EF4-FFF2-40B4-BE49-F238E27FC236}">
              <a16:creationId xmlns:a16="http://schemas.microsoft.com/office/drawing/2014/main" id="{0C8F162E-E5C3-2093-DF14-33854A6E4B97}"/>
            </a:ext>
          </a:extLst>
        </xdr:cNvPr>
        <xdr:cNvGrpSpPr>
          <a:grpSpLocks noChangeAspect="1"/>
        </xdr:cNvGrpSpPr>
      </xdr:nvGrpSpPr>
      <xdr:grpSpPr>
        <a:xfrm>
          <a:off x="172567" y="114860"/>
          <a:ext cx="11347078" cy="1226803"/>
          <a:chOff x="419099" y="92448"/>
          <a:chExt cx="11347078" cy="1226803"/>
        </a:xfrm>
      </xdr:grpSpPr>
      <xdr:grpSp>
        <xdr:nvGrpSpPr>
          <xdr:cNvPr id="5" name="Group 4">
            <a:extLst>
              <a:ext uri="{FF2B5EF4-FFF2-40B4-BE49-F238E27FC236}">
                <a16:creationId xmlns:a16="http://schemas.microsoft.com/office/drawing/2014/main" id="{38090334-0664-42B6-838E-413A9E67C86A}"/>
              </a:ext>
            </a:extLst>
          </xdr:cNvPr>
          <xdr:cNvGrpSpPr>
            <a:grpSpLocks noChangeAspect="1"/>
          </xdr:cNvGrpSpPr>
        </xdr:nvGrpSpPr>
        <xdr:grpSpPr>
          <a:xfrm>
            <a:off x="419099" y="95250"/>
            <a:ext cx="9310121" cy="1224001"/>
            <a:chOff x="133349" y="47625"/>
            <a:chExt cx="9317965" cy="1224001"/>
          </a:xfrm>
        </xdr:grpSpPr>
        <mc:AlternateContent xmlns:mc="http://schemas.openxmlformats.org/markup-compatibility/2006">
          <mc:Choice xmlns:a14="http://schemas.microsoft.com/office/drawing/2010/main" Requires="a14">
            <xdr:graphicFrame macro="">
              <xdr:nvGraphicFramePr>
                <xdr:cNvPr id="6" name="Date 1">
                  <a:extLst>
                    <a:ext uri="{FF2B5EF4-FFF2-40B4-BE49-F238E27FC236}">
                      <a16:creationId xmlns:a16="http://schemas.microsoft.com/office/drawing/2014/main" id="{C14656EE-8898-8143-99F9-1807666604B2}"/>
                    </a:ext>
                  </a:extLst>
                </xdr:cNvPr>
                <xdr:cNvGraphicFramePr>
                  <a:graphicFrameLocks noChangeAspect="1"/>
                </xdr:cNvGraphicFramePr>
              </xdr:nvGraphicFramePr>
              <xdr:xfrm>
                <a:off x="133349" y="47626"/>
                <a:ext cx="3615942" cy="122400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172567" y="117663"/>
                  <a:ext cx="3612898"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Organization 1">
                  <a:extLst>
                    <a:ext uri="{FF2B5EF4-FFF2-40B4-BE49-F238E27FC236}">
                      <a16:creationId xmlns:a16="http://schemas.microsoft.com/office/drawing/2014/main" id="{0393C5F8-00AD-D587-3CD6-CC60B88EA4B0}"/>
                    </a:ext>
                  </a:extLst>
                </xdr:cNvPr>
                <xdr:cNvGraphicFramePr>
                  <a:graphicFrameLocks noChangeAspect="1"/>
                </xdr:cNvGraphicFramePr>
              </xdr:nvGraphicFramePr>
              <xdr:xfrm>
                <a:off x="3848099" y="47625"/>
                <a:ext cx="2438729" cy="1224000"/>
              </xdr:xfrm>
              <a:graphic>
                <a:graphicData uri="http://schemas.microsoft.com/office/drawing/2010/slicer">
                  <sle:slicer xmlns:sle="http://schemas.microsoft.com/office/drawing/2010/slicer" name="Organization 1"/>
                </a:graphicData>
              </a:graphic>
            </xdr:graphicFrame>
          </mc:Choice>
          <mc:Fallback>
            <xdr:sp macro="" textlink="">
              <xdr:nvSpPr>
                <xdr:cNvPr id="0" name=""/>
                <xdr:cNvSpPr>
                  <a:spLocks noTextEdit="1"/>
                </xdr:cNvSpPr>
              </xdr:nvSpPr>
              <xdr:spPr>
                <a:xfrm>
                  <a:off x="3884190" y="117662"/>
                  <a:ext cx="2436676"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Program / Department 1">
                  <a:extLst>
                    <a:ext uri="{FF2B5EF4-FFF2-40B4-BE49-F238E27FC236}">
                      <a16:creationId xmlns:a16="http://schemas.microsoft.com/office/drawing/2014/main" id="{A4161CD4-C0B0-DB0A-424F-39176CB2C8C8}"/>
                    </a:ext>
                  </a:extLst>
                </xdr:cNvPr>
                <xdr:cNvGraphicFramePr>
                  <a:graphicFrameLocks noChangeAspect="1"/>
                </xdr:cNvGraphicFramePr>
              </xdr:nvGraphicFramePr>
              <xdr:xfrm>
                <a:off x="6381750" y="47625"/>
                <a:ext cx="3069564" cy="1224000"/>
              </xdr:xfrm>
              <a:graphic>
                <a:graphicData uri="http://schemas.microsoft.com/office/drawing/2010/slicer">
                  <sle:slicer xmlns:sle="http://schemas.microsoft.com/office/drawing/2010/slicer" name="Program / Department 1"/>
                </a:graphicData>
              </a:graphic>
            </xdr:graphicFrame>
          </mc:Choice>
          <mc:Fallback>
            <xdr:sp macro="" textlink="">
              <xdr:nvSpPr>
                <xdr:cNvPr id="0" name=""/>
                <xdr:cNvSpPr>
                  <a:spLocks noTextEdit="1"/>
                </xdr:cNvSpPr>
              </xdr:nvSpPr>
              <xdr:spPr>
                <a:xfrm>
                  <a:off x="6415708" y="117662"/>
                  <a:ext cx="3066980"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a14="http://schemas.microsoft.com/office/drawing/2010/main" Requires="a14">
          <xdr:graphicFrame macro="">
            <xdr:nvGraphicFramePr>
              <xdr:cNvPr id="11" name="Result Category">
                <a:extLst>
                  <a:ext uri="{FF2B5EF4-FFF2-40B4-BE49-F238E27FC236}">
                    <a16:creationId xmlns:a16="http://schemas.microsoft.com/office/drawing/2014/main" id="{A0675E83-3919-A6DF-6284-2C59259CF4B5}"/>
                  </a:ext>
                </a:extLst>
              </xdr:cNvPr>
              <xdr:cNvGraphicFramePr/>
            </xdr:nvGraphicFramePr>
            <xdr:xfrm>
              <a:off x="9815233" y="92448"/>
              <a:ext cx="1950944" cy="1224000"/>
            </xdr:xfrm>
            <a:graphic>
              <a:graphicData uri="http://schemas.microsoft.com/office/drawing/2010/slicer">
                <sle:slicer xmlns:sle="http://schemas.microsoft.com/office/drawing/2010/slicer" name="Result Category"/>
              </a:graphicData>
            </a:graphic>
          </xdr:graphicFrame>
        </mc:Choice>
        <mc:Fallback>
          <xdr:sp macro="" textlink="">
            <xdr:nvSpPr>
              <xdr:cNvPr id="0" name=""/>
              <xdr:cNvSpPr>
                <a:spLocks noTextEdit="1"/>
              </xdr:cNvSpPr>
            </xdr:nvSpPr>
            <xdr:spPr>
              <a:xfrm>
                <a:off x="9568701" y="114860"/>
                <a:ext cx="1950944"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47625</xdr:colOff>
      <xdr:row>7</xdr:row>
      <xdr:rowOff>57149</xdr:rowOff>
    </xdr:from>
    <xdr:to>
      <xdr:col>13</xdr:col>
      <xdr:colOff>561</xdr:colOff>
      <xdr:row>16</xdr:row>
      <xdr:rowOff>44824</xdr:rowOff>
    </xdr:to>
    <xdr:sp macro="" textlink="">
      <xdr:nvSpPr>
        <xdr:cNvPr id="2" name="TextBox 1">
          <a:extLst>
            <a:ext uri="{FF2B5EF4-FFF2-40B4-BE49-F238E27FC236}">
              <a16:creationId xmlns:a16="http://schemas.microsoft.com/office/drawing/2014/main" id="{6CC8D879-9B39-456E-9867-61429E288B04}"/>
            </a:ext>
          </a:extLst>
        </xdr:cNvPr>
        <xdr:cNvSpPr txBox="1"/>
      </xdr:nvSpPr>
      <xdr:spPr>
        <a:xfrm>
          <a:off x="5219700" y="1390649"/>
          <a:ext cx="4372536" cy="170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Highlights</a:t>
          </a:r>
        </a:p>
        <a:p>
          <a:pPr marL="171450" lvl="0" indent="-171450">
            <a:buFont typeface="Arial" panose="020B0604020202020204" pitchFamily="34" charset="0"/>
            <a:buChar char="•"/>
          </a:pPr>
          <a:r>
            <a:rPr lang="en-US" b="1"/>
            <a:t>All six organizations achieved 100% RSAT.</a:t>
          </a:r>
          <a:r>
            <a:rPr lang="en-US"/>
            <a:t> </a:t>
          </a:r>
        </a:p>
        <a:p>
          <a:pPr marL="171450" lvl="0" indent="-171450">
            <a:buFont typeface="Arial" panose="020B0604020202020204" pitchFamily="34" charset="0"/>
            <a:buChar char="•"/>
          </a:pPr>
          <a:r>
            <a:rPr lang="en-US" b="1"/>
            <a:t>Apex Commerce, BrightPath Education, Harbor Financial, Northstar Health, Summit Utilities, and Vertex Software</a:t>
          </a:r>
          <a:r>
            <a:rPr lang="en-US"/>
            <a:t> all achieved the same top-level result. </a:t>
          </a:r>
        </a:p>
        <a:p>
          <a:pPr marL="171450" lvl="0" indent="-171450">
            <a:buFont typeface="Arial" panose="020B0604020202020204" pitchFamily="34" charset="0"/>
            <a:buChar char="•"/>
          </a:pPr>
          <a:r>
            <a:rPr lang="en-US"/>
            <a:t>The consistency across organizations indicates </a:t>
          </a:r>
          <a:r>
            <a:rPr lang="en-US" b="1"/>
            <a:t>strong customer satisfaction performance</a:t>
          </a:r>
          <a:r>
            <a:rPr lang="en-US"/>
            <a:t> in the supplied data. </a:t>
          </a:r>
        </a:p>
        <a:p>
          <a:pPr marL="171450" lvl="0" indent="-171450">
            <a:buFont typeface="Arial" panose="020B0604020202020204" pitchFamily="34" charset="0"/>
            <a:buChar char="•"/>
          </a:pPr>
          <a:r>
            <a:rPr lang="en-US"/>
            <a:t>Several agents also recorded </a:t>
          </a:r>
          <a:r>
            <a:rPr lang="en-US" b="1"/>
            <a:t>100% RSAT</a:t>
          </a:r>
          <a:r>
            <a:rPr lang="en-US"/>
            <a:t>, reinforcing the positive satisfaction results at the individual level.</a:t>
          </a:r>
        </a:p>
      </xdr:txBody>
    </xdr:sp>
    <xdr:clientData/>
  </xdr:twoCellAnchor>
  <xdr:twoCellAnchor>
    <xdr:from>
      <xdr:col>6</xdr:col>
      <xdr:colOff>47625</xdr:colOff>
      <xdr:row>16</xdr:row>
      <xdr:rowOff>103093</xdr:rowOff>
    </xdr:from>
    <xdr:to>
      <xdr:col>13</xdr:col>
      <xdr:colOff>560</xdr:colOff>
      <xdr:row>26</xdr:row>
      <xdr:rowOff>0</xdr:rowOff>
    </xdr:to>
    <xdr:sp macro="" textlink="">
      <xdr:nvSpPr>
        <xdr:cNvPr id="3" name="TextBox 2">
          <a:extLst>
            <a:ext uri="{FF2B5EF4-FFF2-40B4-BE49-F238E27FC236}">
              <a16:creationId xmlns:a16="http://schemas.microsoft.com/office/drawing/2014/main" id="{97A043E7-CF9F-44FC-A6BB-E39A428020CD}"/>
            </a:ext>
          </a:extLst>
        </xdr:cNvPr>
        <xdr:cNvSpPr txBox="1"/>
      </xdr:nvSpPr>
      <xdr:spPr>
        <a:xfrm>
          <a:off x="5280772" y="3151093"/>
          <a:ext cx="4368053" cy="18019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Lowlights / Improvement Opportunities</a:t>
          </a:r>
        </a:p>
        <a:p>
          <a:pPr marL="171450" lvl="0" indent="-171450">
            <a:buFont typeface="Arial" panose="020B0604020202020204" pitchFamily="34" charset="0"/>
            <a:buChar char="•"/>
          </a:pPr>
          <a:r>
            <a:rPr lang="en-US"/>
            <a:t>There are </a:t>
          </a:r>
          <a:r>
            <a:rPr lang="en-US" b="1"/>
            <a:t>no organization-level RSAT low performers</a:t>
          </a:r>
          <a:r>
            <a:rPr lang="en-US"/>
            <a:t> in this dataset because every organization recorded 100%. </a:t>
          </a:r>
        </a:p>
        <a:p>
          <a:pPr marL="171450" lvl="0" indent="-171450">
            <a:buFont typeface="Arial" panose="020B0604020202020204" pitchFamily="34" charset="0"/>
            <a:buChar char="•"/>
          </a:pPr>
          <a:r>
            <a:rPr lang="en-US"/>
            <a:t>Several agent-level results are blank. These should be interpreted as </a:t>
          </a:r>
          <a:r>
            <a:rPr lang="en-US" b="1"/>
            <a:t>no reported RSAT result</a:t>
          </a:r>
          <a:r>
            <a:rPr lang="en-US"/>
            <a:t>, not as 0% performance. </a:t>
          </a:r>
        </a:p>
        <a:p>
          <a:pPr marL="171450" lvl="0" indent="-171450">
            <a:buFont typeface="Arial" panose="020B0604020202020204" pitchFamily="34" charset="0"/>
            <a:buChar char="•"/>
          </a:pPr>
          <a:r>
            <a:rPr lang="en-US"/>
            <a:t>Because the organization results are uniformly 100%, RSAT alone does not reveal meaningful differences between accounts. </a:t>
          </a:r>
          <a:r>
            <a:rPr lang="en-US" b="1"/>
            <a:t>Customer comments, response volume, and other KPIs such as NPS and RFT should be reviewed alongside RSAT</a:t>
          </a:r>
          <a:r>
            <a:rPr lang="en-US"/>
            <a:t> to identify improvement opportunities.</a:t>
          </a:r>
        </a:p>
        <a:p>
          <a:endParaRPr lang="en-US" sz="1100"/>
        </a:p>
      </xdr:txBody>
    </xdr:sp>
    <xdr:clientData/>
  </xdr:twoCellAnchor>
  <xdr:twoCellAnchor>
    <xdr:from>
      <xdr:col>6</xdr:col>
      <xdr:colOff>47625</xdr:colOff>
      <xdr:row>26</xdr:row>
      <xdr:rowOff>79563</xdr:rowOff>
    </xdr:from>
    <xdr:to>
      <xdr:col>13</xdr:col>
      <xdr:colOff>561</xdr:colOff>
      <xdr:row>33</xdr:row>
      <xdr:rowOff>100853</xdr:rowOff>
    </xdr:to>
    <xdr:sp macro="" textlink="">
      <xdr:nvSpPr>
        <xdr:cNvPr id="4" name="TextBox 3">
          <a:extLst>
            <a:ext uri="{FF2B5EF4-FFF2-40B4-BE49-F238E27FC236}">
              <a16:creationId xmlns:a16="http://schemas.microsoft.com/office/drawing/2014/main" id="{66496B43-81B2-4295-8CEC-F473B2DB6C2F}"/>
            </a:ext>
          </a:extLst>
        </xdr:cNvPr>
        <xdr:cNvSpPr txBox="1"/>
      </xdr:nvSpPr>
      <xdr:spPr>
        <a:xfrm>
          <a:off x="5280772" y="5032563"/>
          <a:ext cx="4368054" cy="13547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Executive Summary</a:t>
          </a:r>
        </a:p>
        <a:p>
          <a:r>
            <a:rPr lang="en-US"/>
            <a:t>RSAT is the strongest and most consistent metric in this comparison, with a 100% result across every organization. The key takeaway is that customer satisfaction is currently a broad strength. The next level of analysis should focus on the underlying customer comments and response volume to determine whether the 100% result is supported by sufficient survey participation and to identify any hidden service issues.</a:t>
          </a:r>
          <a:endParaRPr lang="en-US" sz="1100"/>
        </a:p>
      </xdr:txBody>
    </xdr:sp>
    <xdr:clientData/>
  </xdr:twoCellAnchor>
  <xdr:twoCellAnchor>
    <xdr:from>
      <xdr:col>13</xdr:col>
      <xdr:colOff>84043</xdr:colOff>
      <xdr:row>7</xdr:row>
      <xdr:rowOff>68354</xdr:rowOff>
    </xdr:from>
    <xdr:to>
      <xdr:col>20</xdr:col>
      <xdr:colOff>386602</xdr:colOff>
      <xdr:row>33</xdr:row>
      <xdr:rowOff>179293</xdr:rowOff>
    </xdr:to>
    <xdr:graphicFrame macro="">
      <xdr:nvGraphicFramePr>
        <xdr:cNvPr id="5" name="Chart 4">
          <a:extLst>
            <a:ext uri="{FF2B5EF4-FFF2-40B4-BE49-F238E27FC236}">
              <a16:creationId xmlns:a16="http://schemas.microsoft.com/office/drawing/2014/main" id="{60A2123C-AE2B-4086-8BF0-25F732A1B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4479</xdr:colOff>
      <xdr:row>0</xdr:row>
      <xdr:rowOff>114860</xdr:rowOff>
    </xdr:from>
    <xdr:to>
      <xdr:col>16</xdr:col>
      <xdr:colOff>78439</xdr:colOff>
      <xdr:row>7</xdr:row>
      <xdr:rowOff>8163</xdr:rowOff>
    </xdr:to>
    <xdr:grpSp>
      <xdr:nvGrpSpPr>
        <xdr:cNvPr id="6" name="Group 5">
          <a:extLst>
            <a:ext uri="{FF2B5EF4-FFF2-40B4-BE49-F238E27FC236}">
              <a16:creationId xmlns:a16="http://schemas.microsoft.com/office/drawing/2014/main" id="{C5A211E6-351C-429A-AC78-5E8B3FC2DE9B}"/>
            </a:ext>
          </a:extLst>
        </xdr:cNvPr>
        <xdr:cNvGrpSpPr>
          <a:grpSpLocks noChangeAspect="1"/>
        </xdr:cNvGrpSpPr>
      </xdr:nvGrpSpPr>
      <xdr:grpSpPr>
        <a:xfrm>
          <a:off x="172567" y="114860"/>
          <a:ext cx="11403107" cy="1226803"/>
          <a:chOff x="419099" y="92448"/>
          <a:chExt cx="11347078" cy="1226803"/>
        </a:xfrm>
      </xdr:grpSpPr>
      <xdr:grpSp>
        <xdr:nvGrpSpPr>
          <xdr:cNvPr id="7" name="Group 6">
            <a:extLst>
              <a:ext uri="{FF2B5EF4-FFF2-40B4-BE49-F238E27FC236}">
                <a16:creationId xmlns:a16="http://schemas.microsoft.com/office/drawing/2014/main" id="{6758980E-B703-C7E0-1B9B-97667330E684}"/>
              </a:ext>
            </a:extLst>
          </xdr:cNvPr>
          <xdr:cNvGrpSpPr>
            <a:grpSpLocks noChangeAspect="1"/>
          </xdr:cNvGrpSpPr>
        </xdr:nvGrpSpPr>
        <xdr:grpSpPr>
          <a:xfrm>
            <a:off x="419099" y="95250"/>
            <a:ext cx="9310121" cy="1224001"/>
            <a:chOff x="133349" y="47625"/>
            <a:chExt cx="9317965" cy="1224001"/>
          </a:xfrm>
        </xdr:grpSpPr>
        <mc:AlternateContent xmlns:mc="http://schemas.openxmlformats.org/markup-compatibility/2006">
          <mc:Choice xmlns:a14="http://schemas.microsoft.com/office/drawing/2010/main" Requires="a14">
            <xdr:graphicFrame macro="">
              <xdr:nvGraphicFramePr>
                <xdr:cNvPr id="9" name="Date 2">
                  <a:extLst>
                    <a:ext uri="{FF2B5EF4-FFF2-40B4-BE49-F238E27FC236}">
                      <a16:creationId xmlns:a16="http://schemas.microsoft.com/office/drawing/2014/main" id="{92F5444A-F83C-045B-8CCB-212DD9493CA3}"/>
                    </a:ext>
                  </a:extLst>
                </xdr:cNvPr>
                <xdr:cNvGraphicFramePr>
                  <a:graphicFrameLocks noChangeAspect="1"/>
                </xdr:cNvGraphicFramePr>
              </xdr:nvGraphicFramePr>
              <xdr:xfrm>
                <a:off x="133349" y="47626"/>
                <a:ext cx="3615942" cy="1224000"/>
              </xdr:xfrm>
              <a:graphic>
                <a:graphicData uri="http://schemas.microsoft.com/office/drawing/2010/slicer">
                  <sle:slicer xmlns:sle="http://schemas.microsoft.com/office/drawing/2010/slicer" name="Date 2"/>
                </a:graphicData>
              </a:graphic>
            </xdr:graphicFrame>
          </mc:Choice>
          <mc:Fallback>
            <xdr:sp macro="" textlink="">
              <xdr:nvSpPr>
                <xdr:cNvPr id="0" name=""/>
                <xdr:cNvSpPr>
                  <a:spLocks noTextEdit="1"/>
                </xdr:cNvSpPr>
              </xdr:nvSpPr>
              <xdr:spPr>
                <a:xfrm>
                  <a:off x="172567" y="117663"/>
                  <a:ext cx="3630738"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Organization 2">
                  <a:extLst>
                    <a:ext uri="{FF2B5EF4-FFF2-40B4-BE49-F238E27FC236}">
                      <a16:creationId xmlns:a16="http://schemas.microsoft.com/office/drawing/2014/main" id="{92970F9B-BA66-7F20-21C3-6C2F32693953}"/>
                    </a:ext>
                  </a:extLst>
                </xdr:cNvPr>
                <xdr:cNvGraphicFramePr>
                  <a:graphicFrameLocks noChangeAspect="1"/>
                </xdr:cNvGraphicFramePr>
              </xdr:nvGraphicFramePr>
              <xdr:xfrm>
                <a:off x="3848099" y="47625"/>
                <a:ext cx="2438729" cy="1224000"/>
              </xdr:xfrm>
              <a:graphic>
                <a:graphicData uri="http://schemas.microsoft.com/office/drawing/2010/slicer">
                  <sle:slicer xmlns:sle="http://schemas.microsoft.com/office/drawing/2010/slicer" name="Organization 2"/>
                </a:graphicData>
              </a:graphic>
            </xdr:graphicFrame>
          </mc:Choice>
          <mc:Fallback>
            <xdr:sp macro="" textlink="">
              <xdr:nvSpPr>
                <xdr:cNvPr id="0" name=""/>
                <xdr:cNvSpPr>
                  <a:spLocks noTextEdit="1"/>
                </xdr:cNvSpPr>
              </xdr:nvSpPr>
              <xdr:spPr>
                <a:xfrm>
                  <a:off x="3902517" y="117662"/>
                  <a:ext cx="2448708"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Program / Department 2">
                  <a:extLst>
                    <a:ext uri="{FF2B5EF4-FFF2-40B4-BE49-F238E27FC236}">
                      <a16:creationId xmlns:a16="http://schemas.microsoft.com/office/drawing/2014/main" id="{3BF23E33-05F9-A9C7-CF1D-5942D591F5DE}"/>
                    </a:ext>
                  </a:extLst>
                </xdr:cNvPr>
                <xdr:cNvGraphicFramePr>
                  <a:graphicFrameLocks noChangeAspect="1"/>
                </xdr:cNvGraphicFramePr>
              </xdr:nvGraphicFramePr>
              <xdr:xfrm>
                <a:off x="6381750" y="47625"/>
                <a:ext cx="3069564" cy="1224000"/>
              </xdr:xfrm>
              <a:graphic>
                <a:graphicData uri="http://schemas.microsoft.com/office/drawing/2010/slicer">
                  <sle:slicer xmlns:sle="http://schemas.microsoft.com/office/drawing/2010/slicer" name="Program / Department 2"/>
                </a:graphicData>
              </a:graphic>
            </xdr:graphicFrame>
          </mc:Choice>
          <mc:Fallback>
            <xdr:sp macro="" textlink="">
              <xdr:nvSpPr>
                <xdr:cNvPr id="0" name=""/>
                <xdr:cNvSpPr>
                  <a:spLocks noTextEdit="1"/>
                </xdr:cNvSpPr>
              </xdr:nvSpPr>
              <xdr:spPr>
                <a:xfrm>
                  <a:off x="6446535" y="117662"/>
                  <a:ext cx="3082124"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a14="http://schemas.microsoft.com/office/drawing/2010/main" Requires="a14">
          <xdr:graphicFrame macro="">
            <xdr:nvGraphicFramePr>
              <xdr:cNvPr id="8" name="Result Category 2">
                <a:extLst>
                  <a:ext uri="{FF2B5EF4-FFF2-40B4-BE49-F238E27FC236}">
                    <a16:creationId xmlns:a16="http://schemas.microsoft.com/office/drawing/2014/main" id="{E7AE2F20-2522-39D1-462D-D714018DCBA2}"/>
                  </a:ext>
                </a:extLst>
              </xdr:cNvPr>
              <xdr:cNvGraphicFramePr/>
            </xdr:nvGraphicFramePr>
            <xdr:xfrm>
              <a:off x="9815233" y="92448"/>
              <a:ext cx="1950944" cy="1224000"/>
            </xdr:xfrm>
            <a:graphic>
              <a:graphicData uri="http://schemas.microsoft.com/office/drawing/2010/slicer">
                <sle:slicer xmlns:sle="http://schemas.microsoft.com/office/drawing/2010/slicer" name="Result Category 2"/>
              </a:graphicData>
            </a:graphic>
          </xdr:graphicFrame>
        </mc:Choice>
        <mc:Fallback>
          <xdr:sp macro="" textlink="">
            <xdr:nvSpPr>
              <xdr:cNvPr id="0" name=""/>
              <xdr:cNvSpPr>
                <a:spLocks noTextEdit="1"/>
              </xdr:cNvSpPr>
            </xdr:nvSpPr>
            <xdr:spPr>
              <a:xfrm>
                <a:off x="9615097" y="114860"/>
                <a:ext cx="1960577"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4479</xdr:colOff>
      <xdr:row>0</xdr:row>
      <xdr:rowOff>114860</xdr:rowOff>
    </xdr:from>
    <xdr:to>
      <xdr:col>7</xdr:col>
      <xdr:colOff>605116</xdr:colOff>
      <xdr:row>7</xdr:row>
      <xdr:rowOff>8163</xdr:rowOff>
    </xdr:to>
    <xdr:grpSp>
      <xdr:nvGrpSpPr>
        <xdr:cNvPr id="6" name="Group 5">
          <a:extLst>
            <a:ext uri="{FF2B5EF4-FFF2-40B4-BE49-F238E27FC236}">
              <a16:creationId xmlns:a16="http://schemas.microsoft.com/office/drawing/2014/main" id="{1E2E563B-1B59-47A3-AD09-BA1BDC8F08A0}"/>
            </a:ext>
          </a:extLst>
        </xdr:cNvPr>
        <xdr:cNvGrpSpPr>
          <a:grpSpLocks noChangeAspect="1"/>
        </xdr:cNvGrpSpPr>
      </xdr:nvGrpSpPr>
      <xdr:grpSpPr>
        <a:xfrm>
          <a:off x="172567" y="114860"/>
          <a:ext cx="12702990" cy="1226803"/>
          <a:chOff x="419099" y="92448"/>
          <a:chExt cx="11347078" cy="1226803"/>
        </a:xfrm>
      </xdr:grpSpPr>
      <xdr:grpSp>
        <xdr:nvGrpSpPr>
          <xdr:cNvPr id="7" name="Group 6">
            <a:extLst>
              <a:ext uri="{FF2B5EF4-FFF2-40B4-BE49-F238E27FC236}">
                <a16:creationId xmlns:a16="http://schemas.microsoft.com/office/drawing/2014/main" id="{1EDFD796-EC4D-4932-BFE9-7863C4CA461B}"/>
              </a:ext>
            </a:extLst>
          </xdr:cNvPr>
          <xdr:cNvGrpSpPr>
            <a:grpSpLocks noChangeAspect="1"/>
          </xdr:cNvGrpSpPr>
        </xdr:nvGrpSpPr>
        <xdr:grpSpPr>
          <a:xfrm>
            <a:off x="419099" y="95250"/>
            <a:ext cx="9310121" cy="1224001"/>
            <a:chOff x="133349" y="47625"/>
            <a:chExt cx="9317965" cy="1224001"/>
          </a:xfrm>
        </xdr:grpSpPr>
        <mc:AlternateContent xmlns:mc="http://schemas.openxmlformats.org/markup-compatibility/2006">
          <mc:Choice xmlns:a14="http://schemas.microsoft.com/office/drawing/2010/main" Requires="a14">
            <xdr:graphicFrame macro="">
              <xdr:nvGraphicFramePr>
                <xdr:cNvPr id="9" name="Date 3">
                  <a:extLst>
                    <a:ext uri="{FF2B5EF4-FFF2-40B4-BE49-F238E27FC236}">
                      <a16:creationId xmlns:a16="http://schemas.microsoft.com/office/drawing/2014/main" id="{DB7A5AB6-16E4-6C30-515C-FBD00CA6AD25}"/>
                    </a:ext>
                  </a:extLst>
                </xdr:cNvPr>
                <xdr:cNvGraphicFramePr>
                  <a:graphicFrameLocks noChangeAspect="1"/>
                </xdr:cNvGraphicFramePr>
              </xdr:nvGraphicFramePr>
              <xdr:xfrm>
                <a:off x="133349" y="47626"/>
                <a:ext cx="3615942" cy="1224000"/>
              </xdr:xfrm>
              <a:graphic>
                <a:graphicData uri="http://schemas.microsoft.com/office/drawing/2010/slicer">
                  <sle:slicer xmlns:sle="http://schemas.microsoft.com/office/drawing/2010/slicer" name="Date 3"/>
                </a:graphicData>
              </a:graphic>
            </xdr:graphicFrame>
          </mc:Choice>
          <mc:Fallback>
            <xdr:sp macro="" textlink="">
              <xdr:nvSpPr>
                <xdr:cNvPr id="0" name=""/>
                <xdr:cNvSpPr>
                  <a:spLocks noTextEdit="1"/>
                </xdr:cNvSpPr>
              </xdr:nvSpPr>
              <xdr:spPr>
                <a:xfrm>
                  <a:off x="172567" y="117663"/>
                  <a:ext cx="4044619"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Organization 3">
                  <a:extLst>
                    <a:ext uri="{FF2B5EF4-FFF2-40B4-BE49-F238E27FC236}">
                      <a16:creationId xmlns:a16="http://schemas.microsoft.com/office/drawing/2014/main" id="{DA316A4A-EC8D-D6F3-A3A1-40ACACBFD73D}"/>
                    </a:ext>
                  </a:extLst>
                </xdr:cNvPr>
                <xdr:cNvGraphicFramePr>
                  <a:graphicFrameLocks noChangeAspect="1"/>
                </xdr:cNvGraphicFramePr>
              </xdr:nvGraphicFramePr>
              <xdr:xfrm>
                <a:off x="3848099" y="47625"/>
                <a:ext cx="2438729" cy="1224000"/>
              </xdr:xfrm>
              <a:graphic>
                <a:graphicData uri="http://schemas.microsoft.com/office/drawing/2010/slicer">
                  <sle:slicer xmlns:sle="http://schemas.microsoft.com/office/drawing/2010/slicer" name="Organization 3"/>
                </a:graphicData>
              </a:graphic>
            </xdr:graphicFrame>
          </mc:Choice>
          <mc:Fallback>
            <xdr:sp macro="" textlink="">
              <xdr:nvSpPr>
                <xdr:cNvPr id="0" name=""/>
                <xdr:cNvSpPr>
                  <a:spLocks noTextEdit="1"/>
                </xdr:cNvSpPr>
              </xdr:nvSpPr>
              <xdr:spPr>
                <a:xfrm>
                  <a:off x="4327708" y="117662"/>
                  <a:ext cx="2727845"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Program / Department 3">
                  <a:extLst>
                    <a:ext uri="{FF2B5EF4-FFF2-40B4-BE49-F238E27FC236}">
                      <a16:creationId xmlns:a16="http://schemas.microsoft.com/office/drawing/2014/main" id="{DF4CF114-50C0-99CC-2FF5-FAEBAA026CA7}"/>
                    </a:ext>
                  </a:extLst>
                </xdr:cNvPr>
                <xdr:cNvGraphicFramePr>
                  <a:graphicFrameLocks noChangeAspect="1"/>
                </xdr:cNvGraphicFramePr>
              </xdr:nvGraphicFramePr>
              <xdr:xfrm>
                <a:off x="6381750" y="47625"/>
                <a:ext cx="3069564" cy="1224000"/>
              </xdr:xfrm>
              <a:graphic>
                <a:graphicData uri="http://schemas.microsoft.com/office/drawing/2010/slicer">
                  <sle:slicer xmlns:sle="http://schemas.microsoft.com/office/drawing/2010/slicer" name="Program / Department 3"/>
                </a:graphicData>
              </a:graphic>
            </xdr:graphicFrame>
          </mc:Choice>
          <mc:Fallback>
            <xdr:sp macro="" textlink="">
              <xdr:nvSpPr>
                <xdr:cNvPr id="0" name=""/>
                <xdr:cNvSpPr>
                  <a:spLocks noTextEdit="1"/>
                </xdr:cNvSpPr>
              </xdr:nvSpPr>
              <xdr:spPr>
                <a:xfrm>
                  <a:off x="7161728" y="117662"/>
                  <a:ext cx="3433467"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a14="http://schemas.microsoft.com/office/drawing/2010/main" Requires="a14">
          <xdr:graphicFrame macro="">
            <xdr:nvGraphicFramePr>
              <xdr:cNvPr id="8" name="Result Category 3">
                <a:extLst>
                  <a:ext uri="{FF2B5EF4-FFF2-40B4-BE49-F238E27FC236}">
                    <a16:creationId xmlns:a16="http://schemas.microsoft.com/office/drawing/2014/main" id="{B707F78F-B9A6-41F7-1398-DD9F8BC7D6CC}"/>
                  </a:ext>
                </a:extLst>
              </xdr:cNvPr>
              <xdr:cNvGraphicFramePr/>
            </xdr:nvGraphicFramePr>
            <xdr:xfrm>
              <a:off x="9815233" y="92448"/>
              <a:ext cx="1950944" cy="1224000"/>
            </xdr:xfrm>
            <a:graphic>
              <a:graphicData uri="http://schemas.microsoft.com/office/drawing/2010/slicer">
                <sle:slicer xmlns:sle="http://schemas.microsoft.com/office/drawing/2010/slicer" name="Result Category 3"/>
              </a:graphicData>
            </a:graphic>
          </xdr:graphicFrame>
        </mc:Choice>
        <mc:Fallback>
          <xdr:sp macro="" textlink="">
            <xdr:nvSpPr>
              <xdr:cNvPr id="0" name=""/>
              <xdr:cNvSpPr>
                <a:spLocks noTextEdit="1"/>
              </xdr:cNvSpPr>
            </xdr:nvSpPr>
            <xdr:spPr>
              <a:xfrm>
                <a:off x="10691486" y="114860"/>
                <a:ext cx="2184071"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74.215615277775" createdVersion="8" refreshedVersion="8" minRefreshableVersion="3" recordCount="30" xr:uid="{090C1BCE-0EE1-43CD-B302-BF482480AF10}">
  <cacheSource type="worksheet">
    <worksheetSource ref="A1:N31" sheet="raw"/>
  </cacheSource>
  <cacheFields count="14">
    <cacheField name="Date" numFmtId="16">
      <sharedItems containsNonDate="0" containsDate="1" containsMixedTypes="1" minDate="2026-01-05T00:00:00" maxDate="2026-06-26T00:00:00" count="60">
        <d v="2026-01-05T00:00:00"/>
        <d v="2026-01-08T00:00:00"/>
        <d v="2026-01-12T00:00:00"/>
        <d v="2026-01-16T00:00:00"/>
        <d v="2026-01-21T00:00:00"/>
        <d v="2026-02-03T00:00:00"/>
        <d v="2026-02-06T00:00:00"/>
        <d v="2026-02-11T00:00:00"/>
        <d v="2026-02-17T00:00:00"/>
        <d v="2026-02-24T00:00:00"/>
        <d v="2026-03-02T00:00:00"/>
        <d v="2026-03-05T00:00:00"/>
        <d v="2026-03-10T00:00:00"/>
        <d v="2026-03-14T00:00:00"/>
        <d v="2026-03-20T00:00:00"/>
        <d v="2026-04-04T00:00:00"/>
        <d v="2026-04-08T00:00:00"/>
        <d v="2026-04-13T00:00:00"/>
        <d v="2026-04-19T00:00:00"/>
        <d v="2026-04-27T00:00:00"/>
        <d v="2026-05-06T00:00:00"/>
        <d v="2026-05-09T00:00:00"/>
        <d v="2026-05-15T00:00:00"/>
        <d v="2026-05-22T00:00:00"/>
        <d v="2026-05-28T00:00:00"/>
        <d v="2026-06-03T00:00:00"/>
        <d v="2026-06-07T00:00:00"/>
        <d v="2026-06-12T00:00:00"/>
        <d v="2026-06-18T00:00:00"/>
        <d v="2026-06-25T00:00:00"/>
        <s v="2026-01-05" u="1"/>
        <s v="2026-01-08" u="1"/>
        <s v="2026-01-12" u="1"/>
        <s v="2026-01-16" u="1"/>
        <s v="2026-01-21" u="1"/>
        <s v="2026-02-03" u="1"/>
        <s v="2026-02-06" u="1"/>
        <s v="2026-02-11" u="1"/>
        <s v="2026-02-17" u="1"/>
        <s v="2026-02-24" u="1"/>
        <s v="2026-03-02" u="1"/>
        <s v="2026-03-05" u="1"/>
        <s v="2026-03-10" u="1"/>
        <s v="2026-03-14" u="1"/>
        <s v="2026-03-20" u="1"/>
        <s v="2026-04-04" u="1"/>
        <s v="2026-04-08" u="1"/>
        <s v="2026-04-13" u="1"/>
        <s v="2026-04-19" u="1"/>
        <s v="2026-04-27" u="1"/>
        <s v="2026-05-06" u="1"/>
        <s v="2026-05-09" u="1"/>
        <s v="2026-05-15" u="1"/>
        <s v="2026-05-22" u="1"/>
        <s v="2026-05-28" u="1"/>
        <s v="2026-06-03" u="1"/>
        <s v="2026-06-07" u="1"/>
        <s v="2026-06-12" u="1"/>
        <s v="2026-06-18" u="1"/>
        <s v="2026-06-25" u="1"/>
      </sharedItems>
    </cacheField>
    <cacheField name="Organization" numFmtId="0">
      <sharedItems count="6">
        <s v="Northstar Health"/>
        <s v="BrightPath Education"/>
        <s v="Apex Commerce"/>
        <s v="Summit Utilities"/>
        <s v="Vertex Software"/>
        <s v="Harbor Financial"/>
      </sharedItems>
    </cacheField>
    <cacheField name="Program / Department" numFmtId="0">
      <sharedItems count="6">
        <s v="Customer Support"/>
        <s v="Learner Support"/>
        <s v="Customer Experience"/>
        <s v="Customer Care"/>
        <s v="Technical Support"/>
        <s v="Client Services"/>
      </sharedItems>
    </cacheField>
    <cacheField name="Agent Name" numFmtId="0">
      <sharedItems count="19">
        <s v="Maria Santos"/>
        <s v="Kevin Reyes"/>
        <s v="Angela Cruz"/>
        <s v="Daniel Garcia"/>
        <s v="Joshua Lim"/>
        <s v="Sofia Mendoza"/>
        <s v="Carlo Navarro"/>
        <s v="John Dela Cruz"/>
        <s v="Liza Fernandez"/>
        <s v="Mark Villanueva"/>
        <s v="Anne Torres"/>
        <s v="Ryan Bautista"/>
        <s v="Patrick Ramos"/>
        <s v="Nicole Tan"/>
        <s v="Eric Mendoza"/>
        <s v="James Aquino"/>
        <s v="Rachel Garcia"/>
        <s v="Michael Reyes"/>
        <s v="Donna Flores"/>
      </sharedItems>
    </cacheField>
    <cacheField name="Metric" numFmtId="0">
      <sharedItems count="3">
        <s v="NPS"/>
        <s v="RFT"/>
        <s v="RSAT"/>
      </sharedItems>
    </cacheField>
    <cacheField name="Result Category" numFmtId="0">
      <sharedItems count="5">
        <s v="Promoter"/>
        <s v="Pass"/>
        <s v="Satisfied"/>
        <s v="Passive"/>
        <s v="Detractor"/>
      </sharedItems>
    </cacheField>
    <cacheField name="Score" numFmtId="0">
      <sharedItems containsSemiMixedTypes="0" containsString="0" containsNumber="1" containsInteger="1" minValue="3" maxValue="97"/>
    </cacheField>
    <cacheField name="Promoter" numFmtId="0">
      <sharedItems containsMixedTypes="1" containsNumber="1" containsInteger="1" minValue="1" maxValue="1"/>
    </cacheField>
    <cacheField name="Passive" numFmtId="0">
      <sharedItems containsMixedTypes="1" containsNumber="1" containsInteger="1" minValue="1" maxValue="1"/>
    </cacheField>
    <cacheField name="Detractor" numFmtId="0">
      <sharedItems containsMixedTypes="1" containsNumber="1" containsInteger="1" minValue="1" maxValue="1"/>
    </cacheField>
    <cacheField name="NPS" numFmtId="9">
      <sharedItems containsMixedTypes="1" containsNumber="1" containsInteger="1" minValue="-1" maxValue="1" count="4">
        <n v="1"/>
        <s v=""/>
        <n v="0"/>
        <n v="-1"/>
      </sharedItems>
    </cacheField>
    <cacheField name="RFT" numFmtId="0">
      <sharedItems containsMixedTypes="1" containsNumber="1" minValue="0.93" maxValue="0.97" count="6">
        <s v=""/>
        <n v="0.96"/>
        <n v="0.94000000000000006"/>
        <n v="0.97"/>
        <n v="0.95000000000000007"/>
        <n v="0.93"/>
      </sharedItems>
    </cacheField>
    <cacheField name="RSAT" numFmtId="9">
      <sharedItems containsMixedTypes="1" containsNumber="1" containsInteger="1" minValue="1" maxValue="1" count="2">
        <s v=""/>
        <n v="1"/>
      </sharedItems>
    </cacheField>
    <cacheField name="Customer Comment" numFmtId="0">
      <sharedItems count="30">
        <s v="Very helpful and explained the next steps clearly."/>
        <s v="Resolved on the first interaction without needing a transfer."/>
        <s v="Quick response and professional communication."/>
        <s v="The agent was patient and made the process easy."/>
        <s v="Clear instructions and friendly service."/>
        <s v="He understood my concern immediately and solved it."/>
        <s v="Everything was completed during the initial contact."/>
        <s v="Good service, although the wait time was a little long."/>
        <s v="Issue was resolved, but I had to explain the situation twice."/>
        <s v="Helpful and courteous from start to finish."/>
        <s v="Fast and professional response."/>
        <s v="The request was handled without escalation."/>
        <s v="Excellent communication and clear resolution."/>
        <s v="The issue took too long to resolve and required another follow-up."/>
        <s v="Good support overall, but response time could improve."/>
        <s v="Very knowledgeable and took ownership of the concern."/>
        <s v="No repeat contact was necessary."/>
        <s v="Professional, efficient, and easy to understand."/>
        <s v="Helpful agent, but the process itself was confusing."/>
        <s v="The issue was handled well after the initial delay."/>
        <s v="The troubleshooting steps were clear and effective."/>
        <s v="Solved during the first interaction."/>
        <s v="Strong technical knowledge and excellent communication."/>
        <s v="The agent stayed with me until everything was working."/>
        <s v="Efficient and professional support."/>
        <s v="Very reassuring and professional throughout the interaction."/>
        <s v="The request was completed correctly the first time."/>
        <s v="Excellent service and clear explanation."/>
        <s v="I had to contact support again because the first response did not fully resolve it."/>
        <s v="Good resolution after the follow-up."/>
      </sharedItems>
    </cacheField>
  </cacheFields>
  <extLst>
    <ext xmlns:x14="http://schemas.microsoft.com/office/spreadsheetml/2009/9/main" uri="{725AE2AE-9491-48be-B2B4-4EB974FC3084}">
      <x14:pivotCacheDefinition pivotCacheId="1359374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x v="0"/>
    <x v="0"/>
    <n v="10"/>
    <n v="1"/>
    <s v="0"/>
    <s v="0"/>
    <x v="0"/>
    <x v="0"/>
    <x v="0"/>
    <x v="0"/>
  </r>
  <r>
    <x v="1"/>
    <x v="0"/>
    <x v="0"/>
    <x v="1"/>
    <x v="1"/>
    <x v="1"/>
    <n v="96"/>
    <s v="0"/>
    <s v="0"/>
    <s v="0"/>
    <x v="1"/>
    <x v="1"/>
    <x v="0"/>
    <x v="1"/>
  </r>
  <r>
    <x v="2"/>
    <x v="0"/>
    <x v="0"/>
    <x v="2"/>
    <x v="2"/>
    <x v="2"/>
    <n v="5"/>
    <s v="0"/>
    <s v="0"/>
    <s v="0"/>
    <x v="1"/>
    <x v="0"/>
    <x v="1"/>
    <x v="2"/>
  </r>
  <r>
    <x v="3"/>
    <x v="0"/>
    <x v="0"/>
    <x v="3"/>
    <x v="0"/>
    <x v="0"/>
    <n v="9"/>
    <n v="1"/>
    <s v="0"/>
    <s v="0"/>
    <x v="0"/>
    <x v="0"/>
    <x v="0"/>
    <x v="3"/>
  </r>
  <r>
    <x v="4"/>
    <x v="0"/>
    <x v="0"/>
    <x v="0"/>
    <x v="2"/>
    <x v="2"/>
    <n v="5"/>
    <s v="0"/>
    <s v="0"/>
    <s v="0"/>
    <x v="1"/>
    <x v="0"/>
    <x v="1"/>
    <x v="4"/>
  </r>
  <r>
    <x v="5"/>
    <x v="1"/>
    <x v="1"/>
    <x v="4"/>
    <x v="0"/>
    <x v="0"/>
    <n v="10"/>
    <n v="1"/>
    <s v="0"/>
    <s v="0"/>
    <x v="0"/>
    <x v="0"/>
    <x v="0"/>
    <x v="5"/>
  </r>
  <r>
    <x v="6"/>
    <x v="1"/>
    <x v="1"/>
    <x v="5"/>
    <x v="1"/>
    <x v="1"/>
    <n v="94"/>
    <s v="0"/>
    <s v="0"/>
    <s v="0"/>
    <x v="1"/>
    <x v="2"/>
    <x v="0"/>
    <x v="6"/>
  </r>
  <r>
    <x v="7"/>
    <x v="1"/>
    <x v="1"/>
    <x v="4"/>
    <x v="2"/>
    <x v="2"/>
    <n v="4"/>
    <s v="0"/>
    <s v="0"/>
    <s v="0"/>
    <x v="1"/>
    <x v="0"/>
    <x v="1"/>
    <x v="7"/>
  </r>
  <r>
    <x v="8"/>
    <x v="1"/>
    <x v="1"/>
    <x v="6"/>
    <x v="0"/>
    <x v="3"/>
    <n v="7"/>
    <s v="0"/>
    <n v="1"/>
    <s v="0"/>
    <x v="2"/>
    <x v="0"/>
    <x v="0"/>
    <x v="8"/>
  </r>
  <r>
    <x v="9"/>
    <x v="1"/>
    <x v="1"/>
    <x v="5"/>
    <x v="2"/>
    <x v="2"/>
    <n v="5"/>
    <s v="0"/>
    <s v="0"/>
    <s v="0"/>
    <x v="1"/>
    <x v="0"/>
    <x v="1"/>
    <x v="9"/>
  </r>
  <r>
    <x v="10"/>
    <x v="2"/>
    <x v="2"/>
    <x v="7"/>
    <x v="0"/>
    <x v="0"/>
    <n v="9"/>
    <n v="1"/>
    <s v="0"/>
    <s v="0"/>
    <x v="0"/>
    <x v="0"/>
    <x v="0"/>
    <x v="10"/>
  </r>
  <r>
    <x v="11"/>
    <x v="2"/>
    <x v="2"/>
    <x v="8"/>
    <x v="1"/>
    <x v="1"/>
    <n v="97"/>
    <s v="0"/>
    <s v="0"/>
    <s v="0"/>
    <x v="1"/>
    <x v="3"/>
    <x v="0"/>
    <x v="11"/>
  </r>
  <r>
    <x v="12"/>
    <x v="2"/>
    <x v="2"/>
    <x v="7"/>
    <x v="2"/>
    <x v="2"/>
    <n v="5"/>
    <s v="0"/>
    <s v="0"/>
    <s v="0"/>
    <x v="1"/>
    <x v="0"/>
    <x v="1"/>
    <x v="12"/>
  </r>
  <r>
    <x v="13"/>
    <x v="2"/>
    <x v="2"/>
    <x v="9"/>
    <x v="0"/>
    <x v="4"/>
    <n v="4"/>
    <s v="0"/>
    <s v="0"/>
    <n v="1"/>
    <x v="3"/>
    <x v="0"/>
    <x v="0"/>
    <x v="13"/>
  </r>
  <r>
    <x v="14"/>
    <x v="2"/>
    <x v="2"/>
    <x v="8"/>
    <x v="2"/>
    <x v="2"/>
    <n v="4"/>
    <s v="0"/>
    <s v="0"/>
    <s v="0"/>
    <x v="1"/>
    <x v="0"/>
    <x v="1"/>
    <x v="14"/>
  </r>
  <r>
    <x v="15"/>
    <x v="3"/>
    <x v="3"/>
    <x v="10"/>
    <x v="0"/>
    <x v="0"/>
    <n v="10"/>
    <n v="1"/>
    <s v="0"/>
    <s v="0"/>
    <x v="0"/>
    <x v="0"/>
    <x v="0"/>
    <x v="15"/>
  </r>
  <r>
    <x v="16"/>
    <x v="3"/>
    <x v="3"/>
    <x v="11"/>
    <x v="1"/>
    <x v="1"/>
    <n v="95"/>
    <s v="0"/>
    <s v="0"/>
    <s v="0"/>
    <x v="1"/>
    <x v="4"/>
    <x v="0"/>
    <x v="16"/>
  </r>
  <r>
    <x v="17"/>
    <x v="3"/>
    <x v="3"/>
    <x v="10"/>
    <x v="2"/>
    <x v="2"/>
    <n v="5"/>
    <s v="0"/>
    <s v="0"/>
    <s v="0"/>
    <x v="1"/>
    <x v="0"/>
    <x v="1"/>
    <x v="17"/>
  </r>
  <r>
    <x v="18"/>
    <x v="3"/>
    <x v="3"/>
    <x v="12"/>
    <x v="0"/>
    <x v="3"/>
    <n v="8"/>
    <s v="0"/>
    <n v="1"/>
    <s v="0"/>
    <x v="2"/>
    <x v="0"/>
    <x v="0"/>
    <x v="18"/>
  </r>
  <r>
    <x v="19"/>
    <x v="3"/>
    <x v="3"/>
    <x v="11"/>
    <x v="2"/>
    <x v="2"/>
    <n v="4"/>
    <s v="0"/>
    <s v="0"/>
    <s v="0"/>
    <x v="1"/>
    <x v="0"/>
    <x v="1"/>
    <x v="19"/>
  </r>
  <r>
    <x v="20"/>
    <x v="4"/>
    <x v="4"/>
    <x v="13"/>
    <x v="0"/>
    <x v="0"/>
    <n v="9"/>
    <n v="1"/>
    <s v="0"/>
    <s v="0"/>
    <x v="0"/>
    <x v="0"/>
    <x v="0"/>
    <x v="20"/>
  </r>
  <r>
    <x v="21"/>
    <x v="4"/>
    <x v="4"/>
    <x v="14"/>
    <x v="1"/>
    <x v="1"/>
    <n v="93"/>
    <s v="0"/>
    <s v="0"/>
    <s v="0"/>
    <x v="1"/>
    <x v="5"/>
    <x v="0"/>
    <x v="21"/>
  </r>
  <r>
    <x v="22"/>
    <x v="4"/>
    <x v="4"/>
    <x v="13"/>
    <x v="2"/>
    <x v="2"/>
    <n v="5"/>
    <s v="0"/>
    <s v="0"/>
    <s v="0"/>
    <x v="1"/>
    <x v="0"/>
    <x v="1"/>
    <x v="22"/>
  </r>
  <r>
    <x v="23"/>
    <x v="4"/>
    <x v="4"/>
    <x v="15"/>
    <x v="0"/>
    <x v="0"/>
    <n v="10"/>
    <n v="1"/>
    <s v="0"/>
    <s v="0"/>
    <x v="0"/>
    <x v="0"/>
    <x v="0"/>
    <x v="23"/>
  </r>
  <r>
    <x v="24"/>
    <x v="4"/>
    <x v="4"/>
    <x v="14"/>
    <x v="2"/>
    <x v="2"/>
    <n v="5"/>
    <s v="0"/>
    <s v="0"/>
    <s v="0"/>
    <x v="1"/>
    <x v="0"/>
    <x v="1"/>
    <x v="24"/>
  </r>
  <r>
    <x v="25"/>
    <x v="5"/>
    <x v="5"/>
    <x v="16"/>
    <x v="0"/>
    <x v="0"/>
    <n v="9"/>
    <n v="1"/>
    <s v="0"/>
    <s v="0"/>
    <x v="0"/>
    <x v="0"/>
    <x v="0"/>
    <x v="25"/>
  </r>
  <r>
    <x v="26"/>
    <x v="5"/>
    <x v="5"/>
    <x v="17"/>
    <x v="1"/>
    <x v="1"/>
    <n v="96"/>
    <s v="0"/>
    <s v="0"/>
    <s v="0"/>
    <x v="1"/>
    <x v="1"/>
    <x v="0"/>
    <x v="26"/>
  </r>
  <r>
    <x v="27"/>
    <x v="5"/>
    <x v="5"/>
    <x v="16"/>
    <x v="2"/>
    <x v="2"/>
    <n v="5"/>
    <s v="0"/>
    <s v="0"/>
    <s v="0"/>
    <x v="1"/>
    <x v="0"/>
    <x v="1"/>
    <x v="27"/>
  </r>
  <r>
    <x v="28"/>
    <x v="5"/>
    <x v="5"/>
    <x v="18"/>
    <x v="0"/>
    <x v="4"/>
    <n v="3"/>
    <s v="0"/>
    <s v="0"/>
    <n v="1"/>
    <x v="3"/>
    <x v="0"/>
    <x v="0"/>
    <x v="28"/>
  </r>
  <r>
    <x v="29"/>
    <x v="5"/>
    <x v="5"/>
    <x v="17"/>
    <x v="2"/>
    <x v="2"/>
    <n v="4"/>
    <s v="0"/>
    <s v="0"/>
    <s v="0"/>
    <x v="1"/>
    <x v="0"/>
    <x v="1"/>
    <x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5BD9DA-73EC-4A95-A953-C5D9E3CA43DC}" name="PivotTable2"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 colHeaderCaption=".">
  <location ref="B14:H22" firstHeaderRow="1" firstDataRow="2" firstDataCol="1"/>
  <pivotFields count="14">
    <pivotField showAll="0"/>
    <pivotField showAll="0"/>
    <pivotField axis="axisRow" showAll="0">
      <items count="7">
        <item x="5"/>
        <item x="3"/>
        <item x="2"/>
        <item x="0"/>
        <item x="1"/>
        <item x="4"/>
        <item t="default"/>
      </items>
    </pivotField>
    <pivotField showAll="0"/>
    <pivotField showAll="0"/>
    <pivotField axis="axisCol" showAll="0">
      <items count="6">
        <item x="4"/>
        <item x="1"/>
        <item x="3"/>
        <item x="0"/>
        <item x="2"/>
        <item t="default"/>
      </items>
    </pivotField>
    <pivotField dataField="1"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Fields count="1">
    <field x="5"/>
  </colFields>
  <colItems count="6">
    <i>
      <x/>
    </i>
    <i>
      <x v="1"/>
    </i>
    <i>
      <x v="2"/>
    </i>
    <i>
      <x v="3"/>
    </i>
    <i>
      <x v="4"/>
    </i>
    <i t="grand">
      <x/>
    </i>
  </colItems>
  <dataFields count="1">
    <dataField name="COUNT" fld="6" subtotal="count" baseField="1" baseItem="0"/>
  </dataFields>
  <formats count="11">
    <format dxfId="4528">
      <pivotArea field="5" type="button" dataOnly="0" labelOnly="1" outline="0" axis="axisCol" fieldPosition="0"/>
    </format>
    <format dxfId="4529">
      <pivotArea outline="0" collapsedLevelsAreSubtotals="1" fieldPosition="0"/>
    </format>
    <format dxfId="4530">
      <pivotArea field="5" type="button" dataOnly="0" labelOnly="1" outline="0" axis="axisCol" fieldPosition="0"/>
    </format>
    <format dxfId="4531">
      <pivotArea type="topRight" dataOnly="0" labelOnly="1" outline="0" fieldPosition="0"/>
    </format>
    <format dxfId="4532">
      <pivotArea dataOnly="0" labelOnly="1" fieldPosition="0">
        <references count="1">
          <reference field="5" count="0"/>
        </references>
      </pivotArea>
    </format>
    <format dxfId="4533">
      <pivotArea dataOnly="0" labelOnly="1" grandCol="1" outline="0" fieldPosition="0"/>
    </format>
    <format dxfId="4534">
      <pivotArea outline="0" collapsedLevelsAreSubtotals="1" fieldPosition="0"/>
    </format>
    <format dxfId="4535">
      <pivotArea field="5" type="button" dataOnly="0" labelOnly="1" outline="0" axis="axisCol" fieldPosition="0"/>
    </format>
    <format dxfId="4536">
      <pivotArea type="topRight" dataOnly="0" labelOnly="1" outline="0" fieldPosition="0"/>
    </format>
    <format dxfId="4537">
      <pivotArea dataOnly="0" labelOnly="1" fieldPosition="0">
        <references count="1">
          <reference field="5" count="0"/>
        </references>
      </pivotArea>
    </format>
    <format dxfId="4538">
      <pivotArea dataOnly="0" labelOnly="1" grandCol="1" outline="0" fieldPosition="0"/>
    </format>
  </formats>
  <chartFormats count="5">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2"/>
          </reference>
        </references>
      </pivotArea>
    </chartFormat>
    <chartFormat chart="3" format="3" series="1">
      <pivotArea type="data" outline="0" fieldPosition="0">
        <references count="2">
          <reference field="4294967294" count="1" selected="0">
            <x v="0"/>
          </reference>
          <reference field="5" count="1" selected="0">
            <x v="3"/>
          </reference>
        </references>
      </pivotArea>
    </chartFormat>
    <chartFormat chart="3" format="4" series="1">
      <pivotArea type="data" outline="0" fieldPosition="0">
        <references count="2">
          <reference field="4294967294" count="1" selected="0">
            <x v="0"/>
          </reference>
          <reference field="5" count="1" selected="0">
            <x v="4"/>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43D707-2B35-4DC7-9160-D0C1E3004860}" name="PivotTable1"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ORGANIZATION" colHeaderCaption=".">
  <location ref="B3:H11" firstHeaderRow="1" firstDataRow="2" firstDataCol="1"/>
  <pivotFields count="14">
    <pivotField showAll="0"/>
    <pivotField axis="axisRow" showAll="0">
      <items count="7">
        <item x="2"/>
        <item x="1"/>
        <item x="5"/>
        <item x="0"/>
        <item x="3"/>
        <item x="4"/>
        <item t="default"/>
      </items>
    </pivotField>
    <pivotField showAll="0"/>
    <pivotField showAll="0"/>
    <pivotField showAll="0"/>
    <pivotField axis="axisCol" showAll="0">
      <items count="6">
        <item x="4"/>
        <item x="1"/>
        <item x="3"/>
        <item x="0"/>
        <item x="2"/>
        <item t="default"/>
      </items>
    </pivotField>
    <pivotField dataField="1" showAll="0"/>
    <pivotField showAll="0"/>
    <pivotField showAll="0"/>
    <pivotField showAll="0"/>
    <pivotField showAll="0"/>
    <pivotField showAll="0"/>
    <pivotField showAll="0"/>
    <pivotField showAll="0"/>
  </pivotFields>
  <rowFields count="1">
    <field x="1"/>
  </rowFields>
  <rowItems count="7">
    <i>
      <x/>
    </i>
    <i>
      <x v="1"/>
    </i>
    <i>
      <x v="2"/>
    </i>
    <i>
      <x v="3"/>
    </i>
    <i>
      <x v="4"/>
    </i>
    <i>
      <x v="5"/>
    </i>
    <i t="grand">
      <x/>
    </i>
  </rowItems>
  <colFields count="1">
    <field x="5"/>
  </colFields>
  <colItems count="6">
    <i>
      <x/>
    </i>
    <i>
      <x v="1"/>
    </i>
    <i>
      <x v="2"/>
    </i>
    <i>
      <x v="3"/>
    </i>
    <i>
      <x v="4"/>
    </i>
    <i t="grand">
      <x/>
    </i>
  </colItems>
  <dataFields count="1">
    <dataField name="COUNT" fld="6" subtotal="count" baseField="1" baseItem="0"/>
  </dataFields>
  <formats count="11">
    <format dxfId="4549">
      <pivotArea outline="0" collapsedLevelsAreSubtotals="1" fieldPosition="0"/>
    </format>
    <format dxfId="4548">
      <pivotArea field="5" type="button" dataOnly="0" labelOnly="1" outline="0" axis="axisCol" fieldPosition="0"/>
    </format>
    <format dxfId="4547">
      <pivotArea type="topRight" dataOnly="0" labelOnly="1" outline="0" fieldPosition="0"/>
    </format>
    <format dxfId="4546">
      <pivotArea dataOnly="0" labelOnly="1" fieldPosition="0">
        <references count="1">
          <reference field="5" count="0"/>
        </references>
      </pivotArea>
    </format>
    <format dxfId="4545">
      <pivotArea dataOnly="0" labelOnly="1" grandCol="1" outline="0" fieldPosition="0"/>
    </format>
    <format dxfId="4544">
      <pivotArea outline="0" collapsedLevelsAreSubtotals="1" fieldPosition="0"/>
    </format>
    <format dxfId="4543">
      <pivotArea field="5" type="button" dataOnly="0" labelOnly="1" outline="0" axis="axisCol" fieldPosition="0"/>
    </format>
    <format dxfId="4542">
      <pivotArea type="topRight" dataOnly="0" labelOnly="1" outline="0" fieldPosition="0"/>
    </format>
    <format dxfId="4541">
      <pivotArea dataOnly="0" labelOnly="1" fieldPosition="0">
        <references count="1">
          <reference field="5" count="0"/>
        </references>
      </pivotArea>
    </format>
    <format dxfId="4540">
      <pivotArea dataOnly="0" labelOnly="1" grandCol="1" outline="0" fieldPosition="0"/>
    </format>
    <format dxfId="4539">
      <pivotArea field="5" type="button" dataOnly="0" labelOnly="1" outline="0" axis="axisCol" fieldPosition="0"/>
    </format>
  </formats>
  <chartFormats count="5">
    <chartFormat chart="4" format="0" series="1">
      <pivotArea type="data" outline="0" fieldPosition="0">
        <references count="2">
          <reference field="4294967294" count="1" selected="0">
            <x v="0"/>
          </reference>
          <reference field="5" count="1" selected="0">
            <x v="0"/>
          </reference>
        </references>
      </pivotArea>
    </chartFormat>
    <chartFormat chart="4" format="1" series="1">
      <pivotArea type="data" outline="0" fieldPosition="0">
        <references count="2">
          <reference field="4294967294" count="1" selected="0">
            <x v="0"/>
          </reference>
          <reference field="5" count="1" selected="0">
            <x v="1"/>
          </reference>
        </references>
      </pivotArea>
    </chartFormat>
    <chartFormat chart="4" format="2" series="1">
      <pivotArea type="data" outline="0" fieldPosition="0">
        <references count="2">
          <reference field="4294967294" count="1" selected="0">
            <x v="0"/>
          </reference>
          <reference field="5" count="1" selected="0">
            <x v="2"/>
          </reference>
        </references>
      </pivotArea>
    </chartFormat>
    <chartFormat chart="4" format="3" series="1">
      <pivotArea type="data" outline="0" fieldPosition="0">
        <references count="2">
          <reference field="4294967294" count="1" selected="0">
            <x v="0"/>
          </reference>
          <reference field="5" count="1" selected="0">
            <x v="3"/>
          </reference>
        </references>
      </pivotArea>
    </chartFormat>
    <chartFormat chart="4" format="4" series="1">
      <pivotArea type="data" outline="0" fieldPosition="0">
        <references count="2">
          <reference field="4294967294" count="1" selected="0">
            <x v="0"/>
          </reference>
          <reference field="5" count="1" selected="0">
            <x v="4"/>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833693-C678-4219-9E04-2E258B811342}" name="PivotTable4" cacheId="53" applyNumberFormats="0" applyBorderFormats="0" applyFontFormats="0" applyPatternFormats="0" applyAlignmentFormats="0" applyWidthHeightFormats="1" dataCaption="Values" showError="1" updatedVersion="8" minRefreshableVersion="3" useAutoFormatting="1" itemPrintTitles="1" createdVersion="8" indent="0" compact="0" outline="1" outlineData="1" compactData="0" multipleFieldFilters="0" chartFormat="24">
  <location ref="B9:E41" firstHeaderRow="1" firstDataRow="1" firstDataCol="3"/>
  <pivotFields count="14">
    <pivotField compact="0" showAll="0">
      <items count="61">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compact="0" showAll="0">
      <items count="7">
        <item x="2"/>
        <item x="1"/>
        <item x="5"/>
        <item x="0"/>
        <item x="3"/>
        <item x="4"/>
        <item t="default"/>
      </items>
    </pivotField>
    <pivotField axis="axisRow" compact="0" showAll="0">
      <items count="7">
        <item x="5"/>
        <item x="3"/>
        <item x="2"/>
        <item x="0"/>
        <item x="1"/>
        <item x="4"/>
        <item t="default"/>
      </items>
    </pivotField>
    <pivotField axis="axisRow" compact="0" showAll="0">
      <items count="20">
        <item x="2"/>
        <item x="10"/>
        <item x="6"/>
        <item x="3"/>
        <item x="18"/>
        <item x="14"/>
        <item x="15"/>
        <item x="7"/>
        <item x="4"/>
        <item x="1"/>
        <item x="8"/>
        <item x="0"/>
        <item x="9"/>
        <item x="17"/>
        <item x="13"/>
        <item x="12"/>
        <item x="16"/>
        <item x="11"/>
        <item x="5"/>
        <item t="default"/>
      </items>
    </pivotField>
    <pivotField compact="0" showAll="0"/>
    <pivotField compact="0" showAll="0">
      <items count="6">
        <item x="4"/>
        <item x="1"/>
        <item x="3"/>
        <item x="0"/>
        <item x="2"/>
        <item t="default"/>
      </items>
    </pivotField>
    <pivotField compact="0" showAll="0"/>
    <pivotField compact="0" showAll="0"/>
    <pivotField compact="0" showAll="0"/>
    <pivotField compact="0" showAll="0"/>
    <pivotField dataField="1" compact="0" showAll="0"/>
    <pivotField compact="0" showAll="0"/>
    <pivotField compact="0" showAll="0"/>
    <pivotField compact="0" showAll="0"/>
  </pivotFields>
  <rowFields count="3">
    <field x="1"/>
    <field x="2"/>
    <field x="3"/>
  </rowFields>
  <rowItems count="32">
    <i>
      <x/>
    </i>
    <i r="1">
      <x v="2"/>
    </i>
    <i r="2">
      <x v="7"/>
    </i>
    <i r="2">
      <x v="10"/>
    </i>
    <i r="2">
      <x v="12"/>
    </i>
    <i>
      <x v="1"/>
    </i>
    <i r="1">
      <x v="4"/>
    </i>
    <i r="2">
      <x v="2"/>
    </i>
    <i r="2">
      <x v="8"/>
    </i>
    <i r="2">
      <x v="18"/>
    </i>
    <i>
      <x v="2"/>
    </i>
    <i r="1">
      <x/>
    </i>
    <i r="2">
      <x v="4"/>
    </i>
    <i r="2">
      <x v="13"/>
    </i>
    <i r="2">
      <x v="16"/>
    </i>
    <i>
      <x v="3"/>
    </i>
    <i r="1">
      <x v="3"/>
    </i>
    <i r="2">
      <x/>
    </i>
    <i r="2">
      <x v="3"/>
    </i>
    <i r="2">
      <x v="9"/>
    </i>
    <i r="2">
      <x v="11"/>
    </i>
    <i>
      <x v="4"/>
    </i>
    <i r="1">
      <x v="1"/>
    </i>
    <i r="2">
      <x v="1"/>
    </i>
    <i r="2">
      <x v="15"/>
    </i>
    <i r="2">
      <x v="17"/>
    </i>
    <i>
      <x v="5"/>
    </i>
    <i r="1">
      <x v="5"/>
    </i>
    <i r="2">
      <x v="5"/>
    </i>
    <i r="2">
      <x v="6"/>
    </i>
    <i r="2">
      <x v="14"/>
    </i>
    <i t="grand">
      <x/>
    </i>
  </rowItems>
  <colItems count="1">
    <i/>
  </colItems>
  <dataFields count="1">
    <dataField name=" NPS" fld="10" subtotal="average" baseField="3" baseItem="2" numFmtId="10"/>
  </dataFields>
  <formats count="10">
    <format dxfId="4518">
      <pivotArea outline="0" collapsedLevelsAreSubtotals="1" fieldPosition="0"/>
    </format>
    <format dxfId="4519">
      <pivotArea outline="0" collapsedLevelsAreSubtotals="1" fieldPosition="0"/>
    </format>
    <format dxfId="4520">
      <pivotArea field="1" type="button" dataOnly="0" labelOnly="1" outline="0" axis="axisRow" fieldPosition="0"/>
    </format>
    <format dxfId="4521">
      <pivotArea field="2" type="button" dataOnly="0" labelOnly="1" outline="0" axis="axisRow" fieldPosition="1"/>
    </format>
    <format dxfId="4522">
      <pivotArea field="3" type="button" dataOnly="0" labelOnly="1" outline="0" axis="axisRow" fieldPosition="2"/>
    </format>
    <format dxfId="4523">
      <pivotArea dataOnly="0" labelOnly="1" outline="0" axis="axisValues" fieldPosition="0"/>
    </format>
    <format dxfId="4524">
      <pivotArea field="1" type="button" dataOnly="0" labelOnly="1" outline="0" axis="axisRow" fieldPosition="0"/>
    </format>
    <format dxfId="4525">
      <pivotArea field="2" type="button" dataOnly="0" labelOnly="1" outline="0" axis="axisRow" fieldPosition="1"/>
    </format>
    <format dxfId="4526">
      <pivotArea field="3" type="button" dataOnly="0" labelOnly="1" outline="0" axis="axisRow" fieldPosition="2"/>
    </format>
    <format dxfId="4527">
      <pivotArea dataOnly="0" labelOnly="1" outline="0" axis="axisValues" fieldPosition="0"/>
    </format>
  </formats>
  <chartFormats count="1">
    <chartFormat chart="19"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9B3499-390B-4475-B758-3B9E151525F9}" name="PivotTable4" cacheId="53" applyNumberFormats="0" applyBorderFormats="0" applyFontFormats="0" applyPatternFormats="0" applyAlignmentFormats="0" applyWidthHeightFormats="1" dataCaption="Values" showError="1" updatedVersion="8" minRefreshableVersion="3" useAutoFormatting="1" itemPrintTitles="1" createdVersion="8" indent="0" compact="0" outline="1" outlineData="1" compactData="0" multipleFieldFilters="0" chartFormat="29">
  <location ref="B9:E41" firstHeaderRow="1" firstDataRow="1" firstDataCol="3"/>
  <pivotFields count="14">
    <pivotField compact="0" showAll="0">
      <items count="61">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compact="0" showAll="0">
      <items count="7">
        <item x="2"/>
        <item x="1"/>
        <item x="5"/>
        <item x="0"/>
        <item x="3"/>
        <item x="4"/>
        <item t="default"/>
      </items>
    </pivotField>
    <pivotField axis="axisRow" compact="0" showAll="0">
      <items count="7">
        <item x="5"/>
        <item x="3"/>
        <item x="2"/>
        <item x="0"/>
        <item x="1"/>
        <item x="4"/>
        <item t="default"/>
      </items>
    </pivotField>
    <pivotField axis="axisRow" compact="0" showAll="0">
      <items count="20">
        <item x="2"/>
        <item x="10"/>
        <item x="6"/>
        <item x="3"/>
        <item x="18"/>
        <item x="14"/>
        <item x="15"/>
        <item x="7"/>
        <item x="4"/>
        <item x="1"/>
        <item x="8"/>
        <item x="0"/>
        <item x="9"/>
        <item x="17"/>
        <item x="13"/>
        <item x="12"/>
        <item x="16"/>
        <item x="11"/>
        <item x="5"/>
        <item t="default"/>
      </items>
    </pivotField>
    <pivotField compact="0" showAll="0"/>
    <pivotField compact="0" showAll="0">
      <items count="6">
        <item x="4"/>
        <item x="1"/>
        <item x="3"/>
        <item x="0"/>
        <item x="2"/>
        <item t="default"/>
      </items>
    </pivotField>
    <pivotField compact="0" showAll="0"/>
    <pivotField compact="0" showAll="0"/>
    <pivotField compact="0" showAll="0"/>
    <pivotField compact="0" showAll="0"/>
    <pivotField compact="0" showAll="0"/>
    <pivotField dataField="1" compact="0" showAll="0">
      <items count="7">
        <item x="5"/>
        <item x="2"/>
        <item x="4"/>
        <item x="1"/>
        <item x="3"/>
        <item x="0"/>
        <item t="default"/>
      </items>
    </pivotField>
    <pivotField compact="0" showAll="0"/>
    <pivotField compact="0" showAll="0"/>
  </pivotFields>
  <rowFields count="3">
    <field x="1"/>
    <field x="2"/>
    <field x="3"/>
  </rowFields>
  <rowItems count="32">
    <i>
      <x/>
    </i>
    <i r="1">
      <x v="2"/>
    </i>
    <i r="2">
      <x v="7"/>
    </i>
    <i r="2">
      <x v="10"/>
    </i>
    <i r="2">
      <x v="12"/>
    </i>
    <i>
      <x v="1"/>
    </i>
    <i r="1">
      <x v="4"/>
    </i>
    <i r="2">
      <x v="2"/>
    </i>
    <i r="2">
      <x v="8"/>
    </i>
    <i r="2">
      <x v="18"/>
    </i>
    <i>
      <x v="2"/>
    </i>
    <i r="1">
      <x/>
    </i>
    <i r="2">
      <x v="4"/>
    </i>
    <i r="2">
      <x v="13"/>
    </i>
    <i r="2">
      <x v="16"/>
    </i>
    <i>
      <x v="3"/>
    </i>
    <i r="1">
      <x v="3"/>
    </i>
    <i r="2">
      <x/>
    </i>
    <i r="2">
      <x v="3"/>
    </i>
    <i r="2">
      <x v="9"/>
    </i>
    <i r="2">
      <x v="11"/>
    </i>
    <i>
      <x v="4"/>
    </i>
    <i r="1">
      <x v="1"/>
    </i>
    <i r="2">
      <x v="1"/>
    </i>
    <i r="2">
      <x v="15"/>
    </i>
    <i r="2">
      <x v="17"/>
    </i>
    <i>
      <x v="5"/>
    </i>
    <i r="1">
      <x v="5"/>
    </i>
    <i r="2">
      <x v="5"/>
    </i>
    <i r="2">
      <x v="6"/>
    </i>
    <i r="2">
      <x v="14"/>
    </i>
    <i t="grand">
      <x/>
    </i>
  </rowItems>
  <colItems count="1">
    <i/>
  </colItems>
  <dataFields count="1">
    <dataField name=" RFT" fld="11" subtotal="average" baseField="3" baseItem="18" numFmtId="10"/>
  </dataFields>
  <formats count="11">
    <format dxfId="4507">
      <pivotArea outline="0" collapsedLevelsAreSubtotals="1" fieldPosition="0"/>
    </format>
    <format dxfId="4508">
      <pivotArea outline="0" collapsedLevelsAreSubtotals="1" fieldPosition="0"/>
    </format>
    <format dxfId="4509">
      <pivotArea field="1" type="button" dataOnly="0" labelOnly="1" outline="0" axis="axisRow" fieldPosition="0"/>
    </format>
    <format dxfId="4510">
      <pivotArea field="2" type="button" dataOnly="0" labelOnly="1" outline="0" axis="axisRow" fieldPosition="1"/>
    </format>
    <format dxfId="4511">
      <pivotArea field="3" type="button" dataOnly="0" labelOnly="1" outline="0" axis="axisRow" fieldPosition="2"/>
    </format>
    <format dxfId="4512">
      <pivotArea dataOnly="0" labelOnly="1" outline="0" axis="axisValues" fieldPosition="0"/>
    </format>
    <format dxfId="4513">
      <pivotArea field="1" type="button" dataOnly="0" labelOnly="1" outline="0" axis="axisRow" fieldPosition="0"/>
    </format>
    <format dxfId="4514">
      <pivotArea field="2" type="button" dataOnly="0" labelOnly="1" outline="0" axis="axisRow" fieldPosition="1"/>
    </format>
    <format dxfId="4515">
      <pivotArea field="3" type="button" dataOnly="0" labelOnly="1" outline="0" axis="axisRow" fieldPosition="2"/>
    </format>
    <format dxfId="4516">
      <pivotArea dataOnly="0" labelOnly="1" outline="0" axis="axisValues" fieldPosition="0"/>
    </format>
    <format dxfId="4517">
      <pivotArea outline="0" fieldPosition="0">
        <references count="1">
          <reference field="4294967294" count="1">
            <x v="0"/>
          </reference>
        </references>
      </pivotArea>
    </format>
  </formats>
  <chartFormats count="1">
    <chartFormat chart="24"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CC1FD5-330B-466B-887A-376513F1C5A3}" name="PivotTable4" cacheId="53" applyNumberFormats="0" applyBorderFormats="0" applyFontFormats="0" applyPatternFormats="0" applyAlignmentFormats="0" applyWidthHeightFormats="1" dataCaption="Values" showError="1" updatedVersion="8" minRefreshableVersion="3" useAutoFormatting="1" itemPrintTitles="1" createdVersion="8" indent="0" compact="0" outline="1" outlineData="1" compactData="0" multipleFieldFilters="0" chartFormat="33">
  <location ref="B9:E41" firstHeaderRow="1" firstDataRow="1" firstDataCol="3"/>
  <pivotFields count="14">
    <pivotField compact="0" showAll="0">
      <items count="61">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compact="0" showAll="0">
      <items count="7">
        <item x="2"/>
        <item x="1"/>
        <item x="5"/>
        <item x="0"/>
        <item x="3"/>
        <item x="4"/>
        <item t="default"/>
      </items>
    </pivotField>
    <pivotField axis="axisRow" compact="0" showAll="0">
      <items count="7">
        <item x="5"/>
        <item x="3"/>
        <item x="2"/>
        <item x="0"/>
        <item x="1"/>
        <item x="4"/>
        <item t="default"/>
      </items>
    </pivotField>
    <pivotField axis="axisRow" compact="0" showAll="0">
      <items count="20">
        <item x="2"/>
        <item x="10"/>
        <item x="6"/>
        <item x="3"/>
        <item x="18"/>
        <item x="14"/>
        <item x="15"/>
        <item x="7"/>
        <item x="4"/>
        <item x="1"/>
        <item x="8"/>
        <item x="0"/>
        <item x="9"/>
        <item x="17"/>
        <item x="13"/>
        <item x="12"/>
        <item x="16"/>
        <item x="11"/>
        <item x="5"/>
        <item t="default"/>
      </items>
    </pivotField>
    <pivotField compact="0" showAll="0"/>
    <pivotField compact="0" showAll="0">
      <items count="6">
        <item x="4"/>
        <item x="1"/>
        <item x="3"/>
        <item x="0"/>
        <item x="2"/>
        <item t="default"/>
      </items>
    </pivotField>
    <pivotField compact="0" showAll="0"/>
    <pivotField compact="0" showAll="0"/>
    <pivotField compact="0" showAll="0"/>
    <pivotField compact="0" showAll="0"/>
    <pivotField compact="0" showAll="0"/>
    <pivotField compact="0" showAll="0">
      <items count="7">
        <item x="5"/>
        <item x="2"/>
        <item x="4"/>
        <item x="1"/>
        <item x="3"/>
        <item x="0"/>
        <item t="default"/>
      </items>
    </pivotField>
    <pivotField dataField="1" compact="0" showAll="0">
      <items count="3">
        <item x="1"/>
        <item x="0"/>
        <item t="default"/>
      </items>
    </pivotField>
    <pivotField compact="0" showAll="0"/>
  </pivotFields>
  <rowFields count="3">
    <field x="1"/>
    <field x="2"/>
    <field x="3"/>
  </rowFields>
  <rowItems count="32">
    <i>
      <x/>
    </i>
    <i r="1">
      <x v="2"/>
    </i>
    <i r="2">
      <x v="7"/>
    </i>
    <i r="2">
      <x v="10"/>
    </i>
    <i r="2">
      <x v="12"/>
    </i>
    <i>
      <x v="1"/>
    </i>
    <i r="1">
      <x v="4"/>
    </i>
    <i r="2">
      <x v="2"/>
    </i>
    <i r="2">
      <x v="8"/>
    </i>
    <i r="2">
      <x v="18"/>
    </i>
    <i>
      <x v="2"/>
    </i>
    <i r="1">
      <x/>
    </i>
    <i r="2">
      <x v="4"/>
    </i>
    <i r="2">
      <x v="13"/>
    </i>
    <i r="2">
      <x v="16"/>
    </i>
    <i>
      <x v="3"/>
    </i>
    <i r="1">
      <x v="3"/>
    </i>
    <i r="2">
      <x/>
    </i>
    <i r="2">
      <x v="3"/>
    </i>
    <i r="2">
      <x v="9"/>
    </i>
    <i r="2">
      <x v="11"/>
    </i>
    <i>
      <x v="4"/>
    </i>
    <i r="1">
      <x v="1"/>
    </i>
    <i r="2">
      <x v="1"/>
    </i>
    <i r="2">
      <x v="15"/>
    </i>
    <i r="2">
      <x v="17"/>
    </i>
    <i>
      <x v="5"/>
    </i>
    <i r="1">
      <x v="5"/>
    </i>
    <i r="2">
      <x v="5"/>
    </i>
    <i r="2">
      <x v="6"/>
    </i>
    <i r="2">
      <x v="14"/>
    </i>
    <i t="grand">
      <x/>
    </i>
  </rowItems>
  <colItems count="1">
    <i/>
  </colItems>
  <dataFields count="1">
    <dataField name=" RSAT" fld="12" subtotal="average" baseField="3" baseItem="13" numFmtId="10"/>
  </dataFields>
  <formats count="11">
    <format dxfId="4497">
      <pivotArea outline="0" collapsedLevelsAreSubtotals="1" fieldPosition="0"/>
    </format>
    <format dxfId="4498">
      <pivotArea outline="0" collapsedLevelsAreSubtotals="1" fieldPosition="0"/>
    </format>
    <format dxfId="4499">
      <pivotArea field="1" type="button" dataOnly="0" labelOnly="1" outline="0" axis="axisRow" fieldPosition="0"/>
    </format>
    <format dxfId="4500">
      <pivotArea field="2" type="button" dataOnly="0" labelOnly="1" outline="0" axis="axisRow" fieldPosition="1"/>
    </format>
    <format dxfId="4501">
      <pivotArea field="3" type="button" dataOnly="0" labelOnly="1" outline="0" axis="axisRow" fieldPosition="2"/>
    </format>
    <format dxfId="4502">
      <pivotArea dataOnly="0" labelOnly="1" outline="0" axis="axisValues" fieldPosition="0"/>
    </format>
    <format dxfId="4503">
      <pivotArea field="1" type="button" dataOnly="0" labelOnly="1" outline="0" axis="axisRow" fieldPosition="0"/>
    </format>
    <format dxfId="4504">
      <pivotArea field="2" type="button" dataOnly="0" labelOnly="1" outline="0" axis="axisRow" fieldPosition="1"/>
    </format>
    <format dxfId="4505">
      <pivotArea field="3" type="button" dataOnly="0" labelOnly="1" outline="0" axis="axisRow" fieldPosition="2"/>
    </format>
    <format dxfId="4506">
      <pivotArea dataOnly="0" labelOnly="1" outline="0" axis="axisValues" fieldPosition="0"/>
    </format>
    <format dxfId="4496">
      <pivotArea outline="0" fieldPosition="0">
        <references count="1">
          <reference field="4294967294" count="1">
            <x v="0"/>
          </reference>
        </references>
      </pivotArea>
    </format>
  </formats>
  <chartFormats count="1">
    <chartFormat chart="29" format="4"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4B1959-9012-4A29-8121-7B2DE7F4E27B}" name="PivotTable4" cacheId="53" applyNumberFormats="0" applyBorderFormats="0" applyFontFormats="0" applyPatternFormats="0" applyAlignmentFormats="0" applyWidthHeightFormats="1" dataCaption="Values" showError="1" updatedVersion="8" minRefreshableVersion="3" itemPrintTitles="1" createdVersion="8" indent="0" compact="0" compactData="0" multipleFieldFilters="0" chartFormat="34">
  <location ref="B9:F40" firstHeaderRow="1" firstDataRow="1" firstDataCol="5"/>
  <pivotFields count="14">
    <pivotField compact="0" outline="0" showAll="0" defaultSubtotal="0">
      <items count="60">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compact="0" outline="0" showAll="0" defaultSubtotal="0">
      <items count="6">
        <item x="2"/>
        <item x="1"/>
        <item x="5"/>
        <item x="0"/>
        <item x="3"/>
        <item x="4"/>
      </items>
    </pivotField>
    <pivotField axis="axisRow" compact="0" outline="0" showAll="0" defaultSubtotal="0">
      <items count="6">
        <item x="5"/>
        <item x="3"/>
        <item x="2"/>
        <item x="0"/>
        <item x="1"/>
        <item x="4"/>
      </items>
    </pivotField>
    <pivotField axis="axisRow" compact="0" outline="0" showAll="0" defaultSubtotal="0">
      <items count="19">
        <item x="2"/>
        <item x="10"/>
        <item x="6"/>
        <item x="3"/>
        <item x="18"/>
        <item x="14"/>
        <item x="15"/>
        <item x="7"/>
        <item x="4"/>
        <item x="1"/>
        <item x="8"/>
        <item x="0"/>
        <item x="9"/>
        <item x="17"/>
        <item x="13"/>
        <item x="12"/>
        <item x="16"/>
        <item x="11"/>
        <item x="5"/>
      </items>
    </pivotField>
    <pivotField compact="0" outline="0" showAll="0" defaultSubtotal="0"/>
    <pivotField axis="axisRow" compact="0" outline="0" showAll="0" defaultSubtotal="0">
      <items count="5">
        <item x="4"/>
        <item x="1"/>
        <item x="3"/>
        <item x="0"/>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6">
        <item x="5"/>
        <item x="2"/>
        <item x="4"/>
        <item x="1"/>
        <item x="3"/>
        <item x="0"/>
      </items>
    </pivotField>
    <pivotField compact="0" outline="0" showAll="0" defaultSubtotal="0">
      <items count="2">
        <item x="1"/>
        <item x="0"/>
      </items>
    </pivotField>
    <pivotField axis="axisRow" compact="0" outline="0" showAll="0" defaultSubtotal="0">
      <items count="30">
        <item x="4"/>
        <item x="24"/>
        <item x="6"/>
        <item x="12"/>
        <item x="27"/>
        <item x="10"/>
        <item x="29"/>
        <item x="7"/>
        <item x="14"/>
        <item x="5"/>
        <item x="18"/>
        <item x="9"/>
        <item x="28"/>
        <item x="8"/>
        <item x="16"/>
        <item x="17"/>
        <item x="2"/>
        <item x="1"/>
        <item x="21"/>
        <item x="22"/>
        <item x="23"/>
        <item x="3"/>
        <item x="13"/>
        <item x="19"/>
        <item x="26"/>
        <item x="11"/>
        <item x="20"/>
        <item x="0"/>
        <item x="15"/>
        <item x="25"/>
      </items>
    </pivotField>
  </pivotFields>
  <rowFields count="5">
    <field x="1"/>
    <field x="2"/>
    <field x="5"/>
    <field x="3"/>
    <field x="13"/>
  </rowFields>
  <rowItems count="31">
    <i>
      <x/>
      <x v="2"/>
      <x/>
      <x v="12"/>
      <x v="22"/>
    </i>
    <i r="2">
      <x v="1"/>
      <x v="10"/>
      <x v="25"/>
    </i>
    <i r="2">
      <x v="3"/>
      <x v="7"/>
      <x v="5"/>
    </i>
    <i r="2">
      <x v="4"/>
      <x v="7"/>
      <x v="3"/>
    </i>
    <i r="3">
      <x v="10"/>
      <x v="8"/>
    </i>
    <i>
      <x v="1"/>
      <x v="4"/>
      <x v="1"/>
      <x v="18"/>
      <x v="2"/>
    </i>
    <i r="2">
      <x v="2"/>
      <x v="2"/>
      <x v="13"/>
    </i>
    <i r="2">
      <x v="3"/>
      <x v="8"/>
      <x v="9"/>
    </i>
    <i r="2">
      <x v="4"/>
      <x v="8"/>
      <x v="7"/>
    </i>
    <i r="3">
      <x v="18"/>
      <x v="11"/>
    </i>
    <i>
      <x v="2"/>
      <x/>
      <x/>
      <x v="4"/>
      <x v="12"/>
    </i>
    <i r="2">
      <x v="1"/>
      <x v="13"/>
      <x v="24"/>
    </i>
    <i r="2">
      <x v="3"/>
      <x v="16"/>
      <x v="29"/>
    </i>
    <i r="2">
      <x v="4"/>
      <x v="13"/>
      <x v="6"/>
    </i>
    <i r="3">
      <x v="16"/>
      <x v="4"/>
    </i>
    <i>
      <x v="3"/>
      <x v="3"/>
      <x v="1"/>
      <x v="9"/>
      <x v="17"/>
    </i>
    <i r="2">
      <x v="3"/>
      <x v="3"/>
      <x v="21"/>
    </i>
    <i r="3">
      <x v="11"/>
      <x v="27"/>
    </i>
    <i r="2">
      <x v="4"/>
      <x/>
      <x v="16"/>
    </i>
    <i r="3">
      <x v="11"/>
      <x/>
    </i>
    <i>
      <x v="4"/>
      <x v="1"/>
      <x v="1"/>
      <x v="17"/>
      <x v="14"/>
    </i>
    <i r="2">
      <x v="2"/>
      <x v="15"/>
      <x v="10"/>
    </i>
    <i r="2">
      <x v="3"/>
      <x v="1"/>
      <x v="28"/>
    </i>
    <i r="2">
      <x v="4"/>
      <x v="1"/>
      <x v="15"/>
    </i>
    <i r="3">
      <x v="17"/>
      <x v="23"/>
    </i>
    <i>
      <x v="5"/>
      <x v="5"/>
      <x v="1"/>
      <x v="5"/>
      <x v="18"/>
    </i>
    <i r="2">
      <x v="3"/>
      <x v="6"/>
      <x v="20"/>
    </i>
    <i r="3">
      <x v="14"/>
      <x v="26"/>
    </i>
    <i r="2">
      <x v="4"/>
      <x v="5"/>
      <x v="1"/>
    </i>
    <i r="3">
      <x v="14"/>
      <x v="19"/>
    </i>
    <i t="grand">
      <x/>
    </i>
  </rowItems>
  <colItems count="1">
    <i/>
  </colItems>
  <formats count="137">
    <format dxfId="4359">
      <pivotArea field="13" type="button" dataOnly="0" labelOnly="1" outline="0" axis="axisRow" fieldPosition="4"/>
    </format>
    <format dxfId="4358">
      <pivotArea dataOnly="0" labelOnly="1" grandRow="1" outline="0" fieldPosition="0"/>
    </format>
    <format dxfId="4289">
      <pivotArea type="all" dataOnly="0" outline="0" fieldPosition="0"/>
    </format>
    <format dxfId="4283">
      <pivotArea field="1" type="button" dataOnly="0" labelOnly="1" outline="0" axis="axisRow" fieldPosition="0"/>
    </format>
    <format dxfId="4282">
      <pivotArea field="2" type="button" dataOnly="0" labelOnly="1" outline="0" axis="axisRow" fieldPosition="1"/>
    </format>
    <format dxfId="4281">
      <pivotArea field="5" type="button" dataOnly="0" labelOnly="1" outline="0" axis="axisRow" fieldPosition="2"/>
    </format>
    <format dxfId="4280">
      <pivotArea field="3" type="button" dataOnly="0" labelOnly="1" outline="0" axis="axisRow" fieldPosition="3"/>
    </format>
    <format dxfId="4279">
      <pivotArea field="13" type="button" dataOnly="0" labelOnly="1" outline="0" axis="axisRow" fieldPosition="4"/>
    </format>
    <format dxfId="4278">
      <pivotArea dataOnly="0" labelOnly="1" outline="0" fieldPosition="0">
        <references count="1">
          <reference field="1" count="0"/>
        </references>
      </pivotArea>
    </format>
    <format dxfId="4277">
      <pivotArea dataOnly="0" labelOnly="1" grandRow="1" outline="0" fieldPosition="0"/>
    </format>
    <format dxfId="4276">
      <pivotArea dataOnly="0" labelOnly="1" outline="0" fieldPosition="0">
        <references count="2">
          <reference field="1" count="1" selected="0">
            <x v="0"/>
          </reference>
          <reference field="2" count="1">
            <x v="2"/>
          </reference>
        </references>
      </pivotArea>
    </format>
    <format dxfId="4275">
      <pivotArea dataOnly="0" labelOnly="1" outline="0" fieldPosition="0">
        <references count="2">
          <reference field="1" count="1" selected="0">
            <x v="1"/>
          </reference>
          <reference field="2" count="1">
            <x v="4"/>
          </reference>
        </references>
      </pivotArea>
    </format>
    <format dxfId="4274">
      <pivotArea dataOnly="0" labelOnly="1" outline="0" fieldPosition="0">
        <references count="2">
          <reference field="1" count="1" selected="0">
            <x v="2"/>
          </reference>
          <reference field="2" count="1">
            <x v="0"/>
          </reference>
        </references>
      </pivotArea>
    </format>
    <format dxfId="4273">
      <pivotArea dataOnly="0" labelOnly="1" outline="0" fieldPosition="0">
        <references count="2">
          <reference field="1" count="1" selected="0">
            <x v="3"/>
          </reference>
          <reference field="2" count="1">
            <x v="3"/>
          </reference>
        </references>
      </pivotArea>
    </format>
    <format dxfId="4272">
      <pivotArea dataOnly="0" labelOnly="1" outline="0" fieldPosition="0">
        <references count="2">
          <reference field="1" count="1" selected="0">
            <x v="4"/>
          </reference>
          <reference field="2" count="1">
            <x v="1"/>
          </reference>
        </references>
      </pivotArea>
    </format>
    <format dxfId="4271">
      <pivotArea dataOnly="0" labelOnly="1" outline="0" fieldPosition="0">
        <references count="2">
          <reference field="1" count="1" selected="0">
            <x v="5"/>
          </reference>
          <reference field="2" count="1">
            <x v="5"/>
          </reference>
        </references>
      </pivotArea>
    </format>
    <format dxfId="4270">
      <pivotArea dataOnly="0" labelOnly="1" outline="0" fieldPosition="0">
        <references count="3">
          <reference field="1" count="1" selected="0">
            <x v="0"/>
          </reference>
          <reference field="2" count="1" selected="0">
            <x v="2"/>
          </reference>
          <reference field="5" count="4">
            <x v="0"/>
            <x v="1"/>
            <x v="3"/>
            <x v="4"/>
          </reference>
        </references>
      </pivotArea>
    </format>
    <format dxfId="4269">
      <pivotArea dataOnly="0" labelOnly="1" outline="0" fieldPosition="0">
        <references count="3">
          <reference field="1" count="1" selected="0">
            <x v="1"/>
          </reference>
          <reference field="2" count="1" selected="0">
            <x v="4"/>
          </reference>
          <reference field="5" count="4">
            <x v="1"/>
            <x v="2"/>
            <x v="3"/>
            <x v="4"/>
          </reference>
        </references>
      </pivotArea>
    </format>
    <format dxfId="4268">
      <pivotArea dataOnly="0" labelOnly="1" outline="0" fieldPosition="0">
        <references count="3">
          <reference field="1" count="1" selected="0">
            <x v="2"/>
          </reference>
          <reference field="2" count="1" selected="0">
            <x v="0"/>
          </reference>
          <reference field="5" count="4">
            <x v="0"/>
            <x v="1"/>
            <x v="3"/>
            <x v="4"/>
          </reference>
        </references>
      </pivotArea>
    </format>
    <format dxfId="4267">
      <pivotArea dataOnly="0" labelOnly="1" outline="0" fieldPosition="0">
        <references count="3">
          <reference field="1" count="1" selected="0">
            <x v="3"/>
          </reference>
          <reference field="2" count="1" selected="0">
            <x v="3"/>
          </reference>
          <reference field="5" count="3">
            <x v="1"/>
            <x v="3"/>
            <x v="4"/>
          </reference>
        </references>
      </pivotArea>
    </format>
    <format dxfId="4266">
      <pivotArea dataOnly="0" labelOnly="1" outline="0" fieldPosition="0">
        <references count="3">
          <reference field="1" count="1" selected="0">
            <x v="4"/>
          </reference>
          <reference field="2" count="1" selected="0">
            <x v="1"/>
          </reference>
          <reference field="5" count="4">
            <x v="1"/>
            <x v="2"/>
            <x v="3"/>
            <x v="4"/>
          </reference>
        </references>
      </pivotArea>
    </format>
    <format dxfId="4265">
      <pivotArea dataOnly="0" labelOnly="1" outline="0" fieldPosition="0">
        <references count="3">
          <reference field="1" count="1" selected="0">
            <x v="5"/>
          </reference>
          <reference field="2" count="1" selected="0">
            <x v="5"/>
          </reference>
          <reference field="5" count="3">
            <x v="1"/>
            <x v="3"/>
            <x v="4"/>
          </reference>
        </references>
      </pivotArea>
    </format>
    <format dxfId="4264">
      <pivotArea dataOnly="0" labelOnly="1" outline="0" fieldPosition="0">
        <references count="4">
          <reference field="1" count="1" selected="0">
            <x v="0"/>
          </reference>
          <reference field="2" count="1" selected="0">
            <x v="2"/>
          </reference>
          <reference field="3" count="1">
            <x v="12"/>
          </reference>
          <reference field="5" count="1" selected="0">
            <x v="0"/>
          </reference>
        </references>
      </pivotArea>
    </format>
    <format dxfId="4263">
      <pivotArea dataOnly="0" labelOnly="1" outline="0" fieldPosition="0">
        <references count="4">
          <reference field="1" count="1" selected="0">
            <x v="0"/>
          </reference>
          <reference field="2" count="1" selected="0">
            <x v="2"/>
          </reference>
          <reference field="3" count="1">
            <x v="10"/>
          </reference>
          <reference field="5" count="1" selected="0">
            <x v="1"/>
          </reference>
        </references>
      </pivotArea>
    </format>
    <format dxfId="4262">
      <pivotArea dataOnly="0" labelOnly="1" outline="0" fieldPosition="0">
        <references count="4">
          <reference field="1" count="1" selected="0">
            <x v="0"/>
          </reference>
          <reference field="2" count="1" selected="0">
            <x v="2"/>
          </reference>
          <reference field="3" count="1">
            <x v="7"/>
          </reference>
          <reference field="5" count="1" selected="0">
            <x v="3"/>
          </reference>
        </references>
      </pivotArea>
    </format>
    <format dxfId="4261">
      <pivotArea dataOnly="0" labelOnly="1" outline="0" fieldPosition="0">
        <references count="4">
          <reference field="1" count="1" selected="0">
            <x v="0"/>
          </reference>
          <reference field="2" count="1" selected="0">
            <x v="2"/>
          </reference>
          <reference field="3" count="1">
            <x v="10"/>
          </reference>
          <reference field="5" count="1" selected="0">
            <x v="4"/>
          </reference>
        </references>
      </pivotArea>
    </format>
    <format dxfId="4260">
      <pivotArea dataOnly="0" labelOnly="1" outline="0" fieldPosition="0">
        <references count="4">
          <reference field="1" count="1" selected="0">
            <x v="1"/>
          </reference>
          <reference field="2" count="1" selected="0">
            <x v="4"/>
          </reference>
          <reference field="3" count="1">
            <x v="18"/>
          </reference>
          <reference field="5" count="1" selected="0">
            <x v="1"/>
          </reference>
        </references>
      </pivotArea>
    </format>
    <format dxfId="4259">
      <pivotArea dataOnly="0" labelOnly="1" outline="0" fieldPosition="0">
        <references count="4">
          <reference field="1" count="1" selected="0">
            <x v="1"/>
          </reference>
          <reference field="2" count="1" selected="0">
            <x v="4"/>
          </reference>
          <reference field="3" count="1">
            <x v="2"/>
          </reference>
          <reference field="5" count="1" selected="0">
            <x v="2"/>
          </reference>
        </references>
      </pivotArea>
    </format>
    <format dxfId="4258">
      <pivotArea dataOnly="0" labelOnly="1" outline="0" fieldPosition="0">
        <references count="4">
          <reference field="1" count="1" selected="0">
            <x v="1"/>
          </reference>
          <reference field="2" count="1" selected="0">
            <x v="4"/>
          </reference>
          <reference field="3" count="1">
            <x v="8"/>
          </reference>
          <reference field="5" count="1" selected="0">
            <x v="3"/>
          </reference>
        </references>
      </pivotArea>
    </format>
    <format dxfId="4257">
      <pivotArea dataOnly="0" labelOnly="1" outline="0" fieldPosition="0">
        <references count="4">
          <reference field="1" count="1" selected="0">
            <x v="1"/>
          </reference>
          <reference field="2" count="1" selected="0">
            <x v="4"/>
          </reference>
          <reference field="3" count="1">
            <x v="18"/>
          </reference>
          <reference field="5" count="1" selected="0">
            <x v="4"/>
          </reference>
        </references>
      </pivotArea>
    </format>
    <format dxfId="4256">
      <pivotArea dataOnly="0" labelOnly="1" outline="0" fieldPosition="0">
        <references count="4">
          <reference field="1" count="1" selected="0">
            <x v="2"/>
          </reference>
          <reference field="2" count="1" selected="0">
            <x v="0"/>
          </reference>
          <reference field="3" count="1">
            <x v="4"/>
          </reference>
          <reference field="5" count="1" selected="0">
            <x v="0"/>
          </reference>
        </references>
      </pivotArea>
    </format>
    <format dxfId="4255">
      <pivotArea dataOnly="0" labelOnly="1" outline="0" fieldPosition="0">
        <references count="4">
          <reference field="1" count="1" selected="0">
            <x v="2"/>
          </reference>
          <reference field="2" count="1" selected="0">
            <x v="0"/>
          </reference>
          <reference field="3" count="1">
            <x v="13"/>
          </reference>
          <reference field="5" count="1" selected="0">
            <x v="1"/>
          </reference>
        </references>
      </pivotArea>
    </format>
    <format dxfId="4254">
      <pivotArea dataOnly="0" labelOnly="1" outline="0" fieldPosition="0">
        <references count="4">
          <reference field="1" count="1" selected="0">
            <x v="2"/>
          </reference>
          <reference field="2" count="1" selected="0">
            <x v="0"/>
          </reference>
          <reference field="3" count="1">
            <x v="16"/>
          </reference>
          <reference field="5" count="1" selected="0">
            <x v="3"/>
          </reference>
        </references>
      </pivotArea>
    </format>
    <format dxfId="4253">
      <pivotArea dataOnly="0" labelOnly="1" outline="0" fieldPosition="0">
        <references count="4">
          <reference field="1" count="1" selected="0">
            <x v="2"/>
          </reference>
          <reference field="2" count="1" selected="0">
            <x v="0"/>
          </reference>
          <reference field="3" count="2">
            <x v="13"/>
            <x v="16"/>
          </reference>
          <reference field="5" count="1" selected="0">
            <x v="4"/>
          </reference>
        </references>
      </pivotArea>
    </format>
    <format dxfId="4252">
      <pivotArea dataOnly="0" labelOnly="1" outline="0" fieldPosition="0">
        <references count="4">
          <reference field="1" count="1" selected="0">
            <x v="3"/>
          </reference>
          <reference field="2" count="1" selected="0">
            <x v="3"/>
          </reference>
          <reference field="3" count="1">
            <x v="9"/>
          </reference>
          <reference field="5" count="1" selected="0">
            <x v="1"/>
          </reference>
        </references>
      </pivotArea>
    </format>
    <format dxfId="4251">
      <pivotArea dataOnly="0" labelOnly="1" outline="0" fieldPosition="0">
        <references count="4">
          <reference field="1" count="1" selected="0">
            <x v="3"/>
          </reference>
          <reference field="2" count="1" selected="0">
            <x v="3"/>
          </reference>
          <reference field="3" count="2">
            <x v="3"/>
            <x v="11"/>
          </reference>
          <reference field="5" count="1" selected="0">
            <x v="3"/>
          </reference>
        </references>
      </pivotArea>
    </format>
    <format dxfId="4250">
      <pivotArea dataOnly="0" labelOnly="1" outline="0" fieldPosition="0">
        <references count="4">
          <reference field="1" count="1" selected="0">
            <x v="3"/>
          </reference>
          <reference field="2" count="1" selected="0">
            <x v="3"/>
          </reference>
          <reference field="3" count="2">
            <x v="0"/>
            <x v="11"/>
          </reference>
          <reference field="5" count="1" selected="0">
            <x v="4"/>
          </reference>
        </references>
      </pivotArea>
    </format>
    <format dxfId="4249">
      <pivotArea dataOnly="0" labelOnly="1" outline="0" fieldPosition="0">
        <references count="4">
          <reference field="1" count="1" selected="0">
            <x v="4"/>
          </reference>
          <reference field="2" count="1" selected="0">
            <x v="1"/>
          </reference>
          <reference field="3" count="1">
            <x v="17"/>
          </reference>
          <reference field="5" count="1" selected="0">
            <x v="1"/>
          </reference>
        </references>
      </pivotArea>
    </format>
    <format dxfId="4248">
      <pivotArea dataOnly="0" labelOnly="1" outline="0" fieldPosition="0">
        <references count="4">
          <reference field="1" count="1" selected="0">
            <x v="4"/>
          </reference>
          <reference field="2" count="1" selected="0">
            <x v="1"/>
          </reference>
          <reference field="3" count="1">
            <x v="15"/>
          </reference>
          <reference field="5" count="1" selected="0">
            <x v="2"/>
          </reference>
        </references>
      </pivotArea>
    </format>
    <format dxfId="4247">
      <pivotArea dataOnly="0" labelOnly="1" outline="0" fieldPosition="0">
        <references count="4">
          <reference field="1" count="1" selected="0">
            <x v="4"/>
          </reference>
          <reference field="2" count="1" selected="0">
            <x v="1"/>
          </reference>
          <reference field="3" count="1">
            <x v="1"/>
          </reference>
          <reference field="5" count="1" selected="0">
            <x v="3"/>
          </reference>
        </references>
      </pivotArea>
    </format>
    <format dxfId="4246">
      <pivotArea dataOnly="0" labelOnly="1" outline="0" fieldPosition="0">
        <references count="4">
          <reference field="1" count="1" selected="0">
            <x v="4"/>
          </reference>
          <reference field="2" count="1" selected="0">
            <x v="1"/>
          </reference>
          <reference field="3" count="1">
            <x v="17"/>
          </reference>
          <reference field="5" count="1" selected="0">
            <x v="4"/>
          </reference>
        </references>
      </pivotArea>
    </format>
    <format dxfId="4245">
      <pivotArea dataOnly="0" labelOnly="1" outline="0" fieldPosition="0">
        <references count="4">
          <reference field="1" count="1" selected="0">
            <x v="5"/>
          </reference>
          <reference field="2" count="1" selected="0">
            <x v="5"/>
          </reference>
          <reference field="3" count="1">
            <x v="5"/>
          </reference>
          <reference field="5" count="1" selected="0">
            <x v="1"/>
          </reference>
        </references>
      </pivotArea>
    </format>
    <format dxfId="4244">
      <pivotArea dataOnly="0" labelOnly="1" outline="0" fieldPosition="0">
        <references count="4">
          <reference field="1" count="1" selected="0">
            <x v="5"/>
          </reference>
          <reference field="2" count="1" selected="0">
            <x v="5"/>
          </reference>
          <reference field="3" count="2">
            <x v="6"/>
            <x v="14"/>
          </reference>
          <reference field="5" count="1" selected="0">
            <x v="3"/>
          </reference>
        </references>
      </pivotArea>
    </format>
    <format dxfId="4243">
      <pivotArea dataOnly="0" labelOnly="1" outline="0" fieldPosition="0">
        <references count="4">
          <reference field="1" count="1" selected="0">
            <x v="5"/>
          </reference>
          <reference field="2" count="1" selected="0">
            <x v="5"/>
          </reference>
          <reference field="3" count="2">
            <x v="5"/>
            <x v="14"/>
          </reference>
          <reference field="5" count="1" selected="0">
            <x v="4"/>
          </reference>
        </references>
      </pivotArea>
    </format>
    <format dxfId="4242">
      <pivotArea dataOnly="0" labelOnly="1" outline="0" fieldPosition="0">
        <references count="5">
          <reference field="1" count="1" selected="0">
            <x v="0"/>
          </reference>
          <reference field="2" count="1" selected="0">
            <x v="2"/>
          </reference>
          <reference field="3" count="1" selected="0">
            <x v="12"/>
          </reference>
          <reference field="5" count="1" selected="0">
            <x v="0"/>
          </reference>
          <reference field="13" count="1">
            <x v="22"/>
          </reference>
        </references>
      </pivotArea>
    </format>
    <format dxfId="4241">
      <pivotArea dataOnly="0" labelOnly="1" outline="0" fieldPosition="0">
        <references count="5">
          <reference field="1" count="1" selected="0">
            <x v="0"/>
          </reference>
          <reference field="2" count="1" selected="0">
            <x v="2"/>
          </reference>
          <reference field="3" count="1" selected="0">
            <x v="10"/>
          </reference>
          <reference field="5" count="1" selected="0">
            <x v="1"/>
          </reference>
          <reference field="13" count="1">
            <x v="25"/>
          </reference>
        </references>
      </pivotArea>
    </format>
    <format dxfId="4240">
      <pivotArea dataOnly="0" labelOnly="1" outline="0" fieldPosition="0">
        <references count="5">
          <reference field="1" count="1" selected="0">
            <x v="0"/>
          </reference>
          <reference field="2" count="1" selected="0">
            <x v="2"/>
          </reference>
          <reference field="3" count="1" selected="0">
            <x v="7"/>
          </reference>
          <reference field="5" count="1" selected="0">
            <x v="3"/>
          </reference>
          <reference field="13" count="1">
            <x v="5"/>
          </reference>
        </references>
      </pivotArea>
    </format>
    <format dxfId="4239">
      <pivotArea dataOnly="0" labelOnly="1" outline="0" fieldPosition="0">
        <references count="5">
          <reference field="1" count="1" selected="0">
            <x v="0"/>
          </reference>
          <reference field="2" count="1" selected="0">
            <x v="2"/>
          </reference>
          <reference field="3" count="1" selected="0">
            <x v="7"/>
          </reference>
          <reference field="5" count="1" selected="0">
            <x v="4"/>
          </reference>
          <reference field="13" count="1">
            <x v="3"/>
          </reference>
        </references>
      </pivotArea>
    </format>
    <format dxfId="4238">
      <pivotArea dataOnly="0" labelOnly="1" outline="0" fieldPosition="0">
        <references count="5">
          <reference field="1" count="1" selected="0">
            <x v="0"/>
          </reference>
          <reference field="2" count="1" selected="0">
            <x v="2"/>
          </reference>
          <reference field="3" count="1" selected="0">
            <x v="10"/>
          </reference>
          <reference field="5" count="1" selected="0">
            <x v="4"/>
          </reference>
          <reference field="13" count="1">
            <x v="8"/>
          </reference>
        </references>
      </pivotArea>
    </format>
    <format dxfId="4237">
      <pivotArea dataOnly="0" labelOnly="1" outline="0" fieldPosition="0">
        <references count="5">
          <reference field="1" count="1" selected="0">
            <x v="1"/>
          </reference>
          <reference field="2" count="1" selected="0">
            <x v="4"/>
          </reference>
          <reference field="3" count="1" selected="0">
            <x v="18"/>
          </reference>
          <reference field="5" count="1" selected="0">
            <x v="1"/>
          </reference>
          <reference field="13" count="1">
            <x v="2"/>
          </reference>
        </references>
      </pivotArea>
    </format>
    <format dxfId="4236">
      <pivotArea dataOnly="0" labelOnly="1" outline="0" fieldPosition="0">
        <references count="5">
          <reference field="1" count="1" selected="0">
            <x v="1"/>
          </reference>
          <reference field="2" count="1" selected="0">
            <x v="4"/>
          </reference>
          <reference field="3" count="1" selected="0">
            <x v="2"/>
          </reference>
          <reference field="5" count="1" selected="0">
            <x v="2"/>
          </reference>
          <reference field="13" count="1">
            <x v="13"/>
          </reference>
        </references>
      </pivotArea>
    </format>
    <format dxfId="4235">
      <pivotArea dataOnly="0" labelOnly="1" outline="0" fieldPosition="0">
        <references count="5">
          <reference field="1" count="1" selected="0">
            <x v="1"/>
          </reference>
          <reference field="2" count="1" selected="0">
            <x v="4"/>
          </reference>
          <reference field="3" count="1" selected="0">
            <x v="8"/>
          </reference>
          <reference field="5" count="1" selected="0">
            <x v="3"/>
          </reference>
          <reference field="13" count="1">
            <x v="9"/>
          </reference>
        </references>
      </pivotArea>
    </format>
    <format dxfId="4234">
      <pivotArea dataOnly="0" labelOnly="1" outline="0" fieldPosition="0">
        <references count="5">
          <reference field="1" count="1" selected="0">
            <x v="1"/>
          </reference>
          <reference field="2" count="1" selected="0">
            <x v="4"/>
          </reference>
          <reference field="3" count="1" selected="0">
            <x v="8"/>
          </reference>
          <reference field="5" count="1" selected="0">
            <x v="4"/>
          </reference>
          <reference field="13" count="1">
            <x v="7"/>
          </reference>
        </references>
      </pivotArea>
    </format>
    <format dxfId="4233">
      <pivotArea dataOnly="0" labelOnly="1" outline="0" fieldPosition="0">
        <references count="5">
          <reference field="1" count="1" selected="0">
            <x v="1"/>
          </reference>
          <reference field="2" count="1" selected="0">
            <x v="4"/>
          </reference>
          <reference field="3" count="1" selected="0">
            <x v="18"/>
          </reference>
          <reference field="5" count="1" selected="0">
            <x v="4"/>
          </reference>
          <reference field="13" count="1">
            <x v="11"/>
          </reference>
        </references>
      </pivotArea>
    </format>
    <format dxfId="4232">
      <pivotArea dataOnly="0" labelOnly="1" outline="0" fieldPosition="0">
        <references count="5">
          <reference field="1" count="1" selected="0">
            <x v="2"/>
          </reference>
          <reference field="2" count="1" selected="0">
            <x v="0"/>
          </reference>
          <reference field="3" count="1" selected="0">
            <x v="4"/>
          </reference>
          <reference field="5" count="1" selected="0">
            <x v="0"/>
          </reference>
          <reference field="13" count="1">
            <x v="12"/>
          </reference>
        </references>
      </pivotArea>
    </format>
    <format dxfId="4231">
      <pivotArea dataOnly="0" labelOnly="1" outline="0" fieldPosition="0">
        <references count="5">
          <reference field="1" count="1" selected="0">
            <x v="2"/>
          </reference>
          <reference field="2" count="1" selected="0">
            <x v="0"/>
          </reference>
          <reference field="3" count="1" selected="0">
            <x v="13"/>
          </reference>
          <reference field="5" count="1" selected="0">
            <x v="1"/>
          </reference>
          <reference field="13" count="1">
            <x v="24"/>
          </reference>
        </references>
      </pivotArea>
    </format>
    <format dxfId="4230">
      <pivotArea dataOnly="0" labelOnly="1" outline="0" fieldPosition="0">
        <references count="5">
          <reference field="1" count="1" selected="0">
            <x v="2"/>
          </reference>
          <reference field="2" count="1" selected="0">
            <x v="0"/>
          </reference>
          <reference field="3" count="1" selected="0">
            <x v="16"/>
          </reference>
          <reference field="5" count="1" selected="0">
            <x v="3"/>
          </reference>
          <reference field="13" count="1">
            <x v="29"/>
          </reference>
        </references>
      </pivotArea>
    </format>
    <format dxfId="4229">
      <pivotArea dataOnly="0" labelOnly="1" outline="0" fieldPosition="0">
        <references count="5">
          <reference field="1" count="1" selected="0">
            <x v="2"/>
          </reference>
          <reference field="2" count="1" selected="0">
            <x v="0"/>
          </reference>
          <reference field="3" count="1" selected="0">
            <x v="13"/>
          </reference>
          <reference field="5" count="1" selected="0">
            <x v="4"/>
          </reference>
          <reference field="13" count="1">
            <x v="6"/>
          </reference>
        </references>
      </pivotArea>
    </format>
    <format dxfId="4228">
      <pivotArea dataOnly="0" labelOnly="1" outline="0" fieldPosition="0">
        <references count="5">
          <reference field="1" count="1" selected="0">
            <x v="2"/>
          </reference>
          <reference field="2" count="1" selected="0">
            <x v="0"/>
          </reference>
          <reference field="3" count="1" selected="0">
            <x v="16"/>
          </reference>
          <reference field="5" count="1" selected="0">
            <x v="4"/>
          </reference>
          <reference field="13" count="1">
            <x v="4"/>
          </reference>
        </references>
      </pivotArea>
    </format>
    <format dxfId="4227">
      <pivotArea dataOnly="0" labelOnly="1" outline="0" fieldPosition="0">
        <references count="5">
          <reference field="1" count="1" selected="0">
            <x v="3"/>
          </reference>
          <reference field="2" count="1" selected="0">
            <x v="3"/>
          </reference>
          <reference field="3" count="1" selected="0">
            <x v="9"/>
          </reference>
          <reference field="5" count="1" selected="0">
            <x v="1"/>
          </reference>
          <reference field="13" count="1">
            <x v="17"/>
          </reference>
        </references>
      </pivotArea>
    </format>
    <format dxfId="4226">
      <pivotArea dataOnly="0" labelOnly="1" outline="0" fieldPosition="0">
        <references count="5">
          <reference field="1" count="1" selected="0">
            <x v="3"/>
          </reference>
          <reference field="2" count="1" selected="0">
            <x v="3"/>
          </reference>
          <reference field="3" count="1" selected="0">
            <x v="3"/>
          </reference>
          <reference field="5" count="1" selected="0">
            <x v="3"/>
          </reference>
          <reference field="13" count="1">
            <x v="21"/>
          </reference>
        </references>
      </pivotArea>
    </format>
    <format dxfId="4225">
      <pivotArea dataOnly="0" labelOnly="1" outline="0" fieldPosition="0">
        <references count="5">
          <reference field="1" count="1" selected="0">
            <x v="3"/>
          </reference>
          <reference field="2" count="1" selected="0">
            <x v="3"/>
          </reference>
          <reference field="3" count="1" selected="0">
            <x v="11"/>
          </reference>
          <reference field="5" count="1" selected="0">
            <x v="3"/>
          </reference>
          <reference field="13" count="1">
            <x v="27"/>
          </reference>
        </references>
      </pivotArea>
    </format>
    <format dxfId="4224">
      <pivotArea dataOnly="0" labelOnly="1" outline="0" fieldPosition="0">
        <references count="5">
          <reference field="1" count="1" selected="0">
            <x v="3"/>
          </reference>
          <reference field="2" count="1" selected="0">
            <x v="3"/>
          </reference>
          <reference field="3" count="1" selected="0">
            <x v="0"/>
          </reference>
          <reference field="5" count="1" selected="0">
            <x v="4"/>
          </reference>
          <reference field="13" count="1">
            <x v="16"/>
          </reference>
        </references>
      </pivotArea>
    </format>
    <format dxfId="4223">
      <pivotArea dataOnly="0" labelOnly="1" outline="0" fieldPosition="0">
        <references count="5">
          <reference field="1" count="1" selected="0">
            <x v="3"/>
          </reference>
          <reference field="2" count="1" selected="0">
            <x v="3"/>
          </reference>
          <reference field="3" count="1" selected="0">
            <x v="11"/>
          </reference>
          <reference field="5" count="1" selected="0">
            <x v="4"/>
          </reference>
          <reference field="13" count="1">
            <x v="0"/>
          </reference>
        </references>
      </pivotArea>
    </format>
    <format dxfId="4222">
      <pivotArea dataOnly="0" labelOnly="1" outline="0" fieldPosition="0">
        <references count="5">
          <reference field="1" count="1" selected="0">
            <x v="4"/>
          </reference>
          <reference field="2" count="1" selected="0">
            <x v="1"/>
          </reference>
          <reference field="3" count="1" selected="0">
            <x v="17"/>
          </reference>
          <reference field="5" count="1" selected="0">
            <x v="1"/>
          </reference>
          <reference field="13" count="1">
            <x v="14"/>
          </reference>
        </references>
      </pivotArea>
    </format>
    <format dxfId="4221">
      <pivotArea dataOnly="0" labelOnly="1" outline="0" fieldPosition="0">
        <references count="5">
          <reference field="1" count="1" selected="0">
            <x v="4"/>
          </reference>
          <reference field="2" count="1" selected="0">
            <x v="1"/>
          </reference>
          <reference field="3" count="1" selected="0">
            <x v="15"/>
          </reference>
          <reference field="5" count="1" selected="0">
            <x v="2"/>
          </reference>
          <reference field="13" count="1">
            <x v="10"/>
          </reference>
        </references>
      </pivotArea>
    </format>
    <format dxfId="4220">
      <pivotArea dataOnly="0" labelOnly="1" outline="0" fieldPosition="0">
        <references count="5">
          <reference field="1" count="1" selected="0">
            <x v="4"/>
          </reference>
          <reference field="2" count="1" selected="0">
            <x v="1"/>
          </reference>
          <reference field="3" count="1" selected="0">
            <x v="1"/>
          </reference>
          <reference field="5" count="1" selected="0">
            <x v="3"/>
          </reference>
          <reference field="13" count="1">
            <x v="28"/>
          </reference>
        </references>
      </pivotArea>
    </format>
    <format dxfId="4219">
      <pivotArea dataOnly="0" labelOnly="1" outline="0" fieldPosition="0">
        <references count="5">
          <reference field="1" count="1" selected="0">
            <x v="4"/>
          </reference>
          <reference field="2" count="1" selected="0">
            <x v="1"/>
          </reference>
          <reference field="3" count="1" selected="0">
            <x v="1"/>
          </reference>
          <reference field="5" count="1" selected="0">
            <x v="4"/>
          </reference>
          <reference field="13" count="1">
            <x v="15"/>
          </reference>
        </references>
      </pivotArea>
    </format>
    <format dxfId="4218">
      <pivotArea dataOnly="0" labelOnly="1" outline="0" fieldPosition="0">
        <references count="5">
          <reference field="1" count="1" selected="0">
            <x v="4"/>
          </reference>
          <reference field="2" count="1" selected="0">
            <x v="1"/>
          </reference>
          <reference field="3" count="1" selected="0">
            <x v="17"/>
          </reference>
          <reference field="5" count="1" selected="0">
            <x v="4"/>
          </reference>
          <reference field="13" count="1">
            <x v="23"/>
          </reference>
        </references>
      </pivotArea>
    </format>
    <format dxfId="4217">
      <pivotArea dataOnly="0" labelOnly="1" outline="0" fieldPosition="0">
        <references count="5">
          <reference field="1" count="1" selected="0">
            <x v="5"/>
          </reference>
          <reference field="2" count="1" selected="0">
            <x v="5"/>
          </reference>
          <reference field="3" count="1" selected="0">
            <x v="5"/>
          </reference>
          <reference field="5" count="1" selected="0">
            <x v="1"/>
          </reference>
          <reference field="13" count="1">
            <x v="18"/>
          </reference>
        </references>
      </pivotArea>
    </format>
    <format dxfId="4216">
      <pivotArea dataOnly="0" labelOnly="1" outline="0" fieldPosition="0">
        <references count="5">
          <reference field="1" count="1" selected="0">
            <x v="5"/>
          </reference>
          <reference field="2" count="1" selected="0">
            <x v="5"/>
          </reference>
          <reference field="3" count="1" selected="0">
            <x v="6"/>
          </reference>
          <reference field="5" count="1" selected="0">
            <x v="3"/>
          </reference>
          <reference field="13" count="1">
            <x v="20"/>
          </reference>
        </references>
      </pivotArea>
    </format>
    <format dxfId="4215">
      <pivotArea dataOnly="0" labelOnly="1" outline="0" fieldPosition="0">
        <references count="5">
          <reference field="1" count="1" selected="0">
            <x v="5"/>
          </reference>
          <reference field="2" count="1" selected="0">
            <x v="5"/>
          </reference>
          <reference field="3" count="1" selected="0">
            <x v="14"/>
          </reference>
          <reference field="5" count="1" selected="0">
            <x v="3"/>
          </reference>
          <reference field="13" count="1">
            <x v="26"/>
          </reference>
        </references>
      </pivotArea>
    </format>
    <format dxfId="4214">
      <pivotArea dataOnly="0" labelOnly="1" outline="0" fieldPosition="0">
        <references count="5">
          <reference field="1" count="1" selected="0">
            <x v="5"/>
          </reference>
          <reference field="2" count="1" selected="0">
            <x v="5"/>
          </reference>
          <reference field="3" count="1" selected="0">
            <x v="5"/>
          </reference>
          <reference field="5" count="1" selected="0">
            <x v="4"/>
          </reference>
          <reference field="13" count="1">
            <x v="1"/>
          </reference>
        </references>
      </pivotArea>
    </format>
    <format dxfId="4213">
      <pivotArea dataOnly="0" labelOnly="1" outline="0" fieldPosition="0">
        <references count="5">
          <reference field="1" count="1" selected="0">
            <x v="5"/>
          </reference>
          <reference field="2" count="1" selected="0">
            <x v="5"/>
          </reference>
          <reference field="3" count="1" selected="0">
            <x v="14"/>
          </reference>
          <reference field="5" count="1" selected="0">
            <x v="4"/>
          </reference>
          <reference field="13" count="1">
            <x v="19"/>
          </reference>
        </references>
      </pivotArea>
    </format>
    <format dxfId="4212">
      <pivotArea type="all" dataOnly="0" outline="0" fieldPosition="0"/>
    </format>
    <format dxfId="4206">
      <pivotArea dataOnly="0" labelOnly="1" outline="0" fieldPosition="0">
        <references count="4">
          <reference field="1" count="1" selected="0">
            <x v="0"/>
          </reference>
          <reference field="2" count="1" selected="0">
            <x v="2"/>
          </reference>
          <reference field="3" count="1">
            <x v="12"/>
          </reference>
          <reference field="5" count="1" selected="0">
            <x v="0"/>
          </reference>
        </references>
      </pivotArea>
    </format>
    <format dxfId="4205">
      <pivotArea dataOnly="0" labelOnly="1" outline="0" fieldPosition="0">
        <references count="4">
          <reference field="1" count="1" selected="0">
            <x v="0"/>
          </reference>
          <reference field="2" count="1" selected="0">
            <x v="2"/>
          </reference>
          <reference field="3" count="1">
            <x v="10"/>
          </reference>
          <reference field="5" count="1" selected="0">
            <x v="1"/>
          </reference>
        </references>
      </pivotArea>
    </format>
    <format dxfId="4204">
      <pivotArea dataOnly="0" labelOnly="1" outline="0" fieldPosition="0">
        <references count="4">
          <reference field="1" count="1" selected="0">
            <x v="0"/>
          </reference>
          <reference field="2" count="1" selected="0">
            <x v="2"/>
          </reference>
          <reference field="3" count="1">
            <x v="7"/>
          </reference>
          <reference field="5" count="1" selected="0">
            <x v="3"/>
          </reference>
        </references>
      </pivotArea>
    </format>
    <format dxfId="4203">
      <pivotArea dataOnly="0" labelOnly="1" outline="0" fieldPosition="0">
        <references count="4">
          <reference field="1" count="1" selected="0">
            <x v="0"/>
          </reference>
          <reference field="2" count="1" selected="0">
            <x v="2"/>
          </reference>
          <reference field="3" count="1">
            <x v="10"/>
          </reference>
          <reference field="5" count="1" selected="0">
            <x v="4"/>
          </reference>
        </references>
      </pivotArea>
    </format>
    <format dxfId="4202">
      <pivotArea dataOnly="0" labelOnly="1" outline="0" fieldPosition="0">
        <references count="4">
          <reference field="1" count="1" selected="0">
            <x v="1"/>
          </reference>
          <reference field="2" count="1" selected="0">
            <x v="4"/>
          </reference>
          <reference field="3" count="1">
            <x v="18"/>
          </reference>
          <reference field="5" count="1" selected="0">
            <x v="1"/>
          </reference>
        </references>
      </pivotArea>
    </format>
    <format dxfId="4201">
      <pivotArea dataOnly="0" labelOnly="1" outline="0" fieldPosition="0">
        <references count="4">
          <reference field="1" count="1" selected="0">
            <x v="1"/>
          </reference>
          <reference field="2" count="1" selected="0">
            <x v="4"/>
          </reference>
          <reference field="3" count="1">
            <x v="2"/>
          </reference>
          <reference field="5" count="1" selected="0">
            <x v="2"/>
          </reference>
        </references>
      </pivotArea>
    </format>
    <format dxfId="4200">
      <pivotArea dataOnly="0" labelOnly="1" outline="0" fieldPosition="0">
        <references count="4">
          <reference field="1" count="1" selected="0">
            <x v="1"/>
          </reference>
          <reference field="2" count="1" selected="0">
            <x v="4"/>
          </reference>
          <reference field="3" count="1">
            <x v="8"/>
          </reference>
          <reference field="5" count="1" selected="0">
            <x v="3"/>
          </reference>
        </references>
      </pivotArea>
    </format>
    <format dxfId="4199">
      <pivotArea dataOnly="0" labelOnly="1" outline="0" fieldPosition="0">
        <references count="4">
          <reference field="1" count="1" selected="0">
            <x v="1"/>
          </reference>
          <reference field="2" count="1" selected="0">
            <x v="4"/>
          </reference>
          <reference field="3" count="1">
            <x v="18"/>
          </reference>
          <reference field="5" count="1" selected="0">
            <x v="4"/>
          </reference>
        </references>
      </pivotArea>
    </format>
    <format dxfId="4198">
      <pivotArea dataOnly="0" labelOnly="1" outline="0" fieldPosition="0">
        <references count="4">
          <reference field="1" count="1" selected="0">
            <x v="2"/>
          </reference>
          <reference field="2" count="1" selected="0">
            <x v="0"/>
          </reference>
          <reference field="3" count="1">
            <x v="4"/>
          </reference>
          <reference field="5" count="1" selected="0">
            <x v="0"/>
          </reference>
        </references>
      </pivotArea>
    </format>
    <format dxfId="4197">
      <pivotArea dataOnly="0" labelOnly="1" outline="0" fieldPosition="0">
        <references count="4">
          <reference field="1" count="1" selected="0">
            <x v="2"/>
          </reference>
          <reference field="2" count="1" selected="0">
            <x v="0"/>
          </reference>
          <reference field="3" count="1">
            <x v="13"/>
          </reference>
          <reference field="5" count="1" selected="0">
            <x v="1"/>
          </reference>
        </references>
      </pivotArea>
    </format>
    <format dxfId="4196">
      <pivotArea dataOnly="0" labelOnly="1" outline="0" fieldPosition="0">
        <references count="4">
          <reference field="1" count="1" selected="0">
            <x v="2"/>
          </reference>
          <reference field="2" count="1" selected="0">
            <x v="0"/>
          </reference>
          <reference field="3" count="1">
            <x v="16"/>
          </reference>
          <reference field="5" count="1" selected="0">
            <x v="3"/>
          </reference>
        </references>
      </pivotArea>
    </format>
    <format dxfId="4195">
      <pivotArea dataOnly="0" labelOnly="1" outline="0" fieldPosition="0">
        <references count="4">
          <reference field="1" count="1" selected="0">
            <x v="2"/>
          </reference>
          <reference field="2" count="1" selected="0">
            <x v="0"/>
          </reference>
          <reference field="3" count="2">
            <x v="13"/>
            <x v="16"/>
          </reference>
          <reference field="5" count="1" selected="0">
            <x v="4"/>
          </reference>
        </references>
      </pivotArea>
    </format>
    <format dxfId="4194">
      <pivotArea dataOnly="0" labelOnly="1" outline="0" fieldPosition="0">
        <references count="4">
          <reference field="1" count="1" selected="0">
            <x v="3"/>
          </reference>
          <reference field="2" count="1" selected="0">
            <x v="3"/>
          </reference>
          <reference field="3" count="1">
            <x v="9"/>
          </reference>
          <reference field="5" count="1" selected="0">
            <x v="1"/>
          </reference>
        </references>
      </pivotArea>
    </format>
    <format dxfId="4193">
      <pivotArea dataOnly="0" labelOnly="1" outline="0" fieldPosition="0">
        <references count="4">
          <reference field="1" count="1" selected="0">
            <x v="3"/>
          </reference>
          <reference field="2" count="1" selected="0">
            <x v="3"/>
          </reference>
          <reference field="3" count="2">
            <x v="3"/>
            <x v="11"/>
          </reference>
          <reference field="5" count="1" selected="0">
            <x v="3"/>
          </reference>
        </references>
      </pivotArea>
    </format>
    <format dxfId="4192">
      <pivotArea dataOnly="0" labelOnly="1" outline="0" fieldPosition="0">
        <references count="4">
          <reference field="1" count="1" selected="0">
            <x v="3"/>
          </reference>
          <reference field="2" count="1" selected="0">
            <x v="3"/>
          </reference>
          <reference field="3" count="2">
            <x v="0"/>
            <x v="11"/>
          </reference>
          <reference field="5" count="1" selected="0">
            <x v="4"/>
          </reference>
        </references>
      </pivotArea>
    </format>
    <format dxfId="4191">
      <pivotArea dataOnly="0" labelOnly="1" outline="0" fieldPosition="0">
        <references count="4">
          <reference field="1" count="1" selected="0">
            <x v="4"/>
          </reference>
          <reference field="2" count="1" selected="0">
            <x v="1"/>
          </reference>
          <reference field="3" count="1">
            <x v="17"/>
          </reference>
          <reference field="5" count="1" selected="0">
            <x v="1"/>
          </reference>
        </references>
      </pivotArea>
    </format>
    <format dxfId="4190">
      <pivotArea dataOnly="0" labelOnly="1" outline="0" fieldPosition="0">
        <references count="4">
          <reference field="1" count="1" selected="0">
            <x v="4"/>
          </reference>
          <reference field="2" count="1" selected="0">
            <x v="1"/>
          </reference>
          <reference field="3" count="1">
            <x v="15"/>
          </reference>
          <reference field="5" count="1" selected="0">
            <x v="2"/>
          </reference>
        </references>
      </pivotArea>
    </format>
    <format dxfId="4189">
      <pivotArea dataOnly="0" labelOnly="1" outline="0" fieldPosition="0">
        <references count="4">
          <reference field="1" count="1" selected="0">
            <x v="4"/>
          </reference>
          <reference field="2" count="1" selected="0">
            <x v="1"/>
          </reference>
          <reference field="3" count="1">
            <x v="1"/>
          </reference>
          <reference field="5" count="1" selected="0">
            <x v="3"/>
          </reference>
        </references>
      </pivotArea>
    </format>
    <format dxfId="4188">
      <pivotArea dataOnly="0" labelOnly="1" outline="0" fieldPosition="0">
        <references count="4">
          <reference field="1" count="1" selected="0">
            <x v="4"/>
          </reference>
          <reference field="2" count="1" selected="0">
            <x v="1"/>
          </reference>
          <reference field="3" count="1">
            <x v="17"/>
          </reference>
          <reference field="5" count="1" selected="0">
            <x v="4"/>
          </reference>
        </references>
      </pivotArea>
    </format>
    <format dxfId="4187">
      <pivotArea dataOnly="0" labelOnly="1" outline="0" fieldPosition="0">
        <references count="4">
          <reference field="1" count="1" selected="0">
            <x v="5"/>
          </reference>
          <reference field="2" count="1" selected="0">
            <x v="5"/>
          </reference>
          <reference field="3" count="1">
            <x v="5"/>
          </reference>
          <reference field="5" count="1" selected="0">
            <x v="1"/>
          </reference>
        </references>
      </pivotArea>
    </format>
    <format dxfId="4186">
      <pivotArea dataOnly="0" labelOnly="1" outline="0" fieldPosition="0">
        <references count="4">
          <reference field="1" count="1" selected="0">
            <x v="5"/>
          </reference>
          <reference field="2" count="1" selected="0">
            <x v="5"/>
          </reference>
          <reference field="3" count="2">
            <x v="6"/>
            <x v="14"/>
          </reference>
          <reference field="5" count="1" selected="0">
            <x v="3"/>
          </reference>
        </references>
      </pivotArea>
    </format>
    <format dxfId="4185">
      <pivotArea dataOnly="0" labelOnly="1" outline="0" fieldPosition="0">
        <references count="4">
          <reference field="1" count="1" selected="0">
            <x v="5"/>
          </reference>
          <reference field="2" count="1" selected="0">
            <x v="5"/>
          </reference>
          <reference field="3" count="2">
            <x v="5"/>
            <x v="14"/>
          </reference>
          <reference field="5" count="1" selected="0">
            <x v="4"/>
          </reference>
        </references>
      </pivotArea>
    </format>
    <format dxfId="4184">
      <pivotArea field="13" type="button" dataOnly="0" labelOnly="1" outline="0" axis="axisRow" fieldPosition="4"/>
    </format>
    <format dxfId="4181">
      <pivotArea dataOnly="0" labelOnly="1" outline="0" fieldPosition="0">
        <references count="5">
          <reference field="1" count="1" selected="0">
            <x v="0"/>
          </reference>
          <reference field="2" count="1" selected="0">
            <x v="2"/>
          </reference>
          <reference field="3" count="1" selected="0">
            <x v="12"/>
          </reference>
          <reference field="5" count="1" selected="0">
            <x v="0"/>
          </reference>
          <reference field="13" count="1">
            <x v="22"/>
          </reference>
        </references>
      </pivotArea>
    </format>
    <format dxfId="4179">
      <pivotArea dataOnly="0" labelOnly="1" outline="0" fieldPosition="0">
        <references count="5">
          <reference field="1" count="1" selected="0">
            <x v="0"/>
          </reference>
          <reference field="2" count="1" selected="0">
            <x v="2"/>
          </reference>
          <reference field="3" count="1" selected="0">
            <x v="10"/>
          </reference>
          <reference field="5" count="1" selected="0">
            <x v="1"/>
          </reference>
          <reference field="13" count="1">
            <x v="25"/>
          </reference>
        </references>
      </pivotArea>
    </format>
    <format dxfId="4177">
      <pivotArea dataOnly="0" labelOnly="1" outline="0" fieldPosition="0">
        <references count="5">
          <reference field="1" count="1" selected="0">
            <x v="0"/>
          </reference>
          <reference field="2" count="1" selected="0">
            <x v="2"/>
          </reference>
          <reference field="3" count="1" selected="0">
            <x v="7"/>
          </reference>
          <reference field="5" count="1" selected="0">
            <x v="3"/>
          </reference>
          <reference field="13" count="1">
            <x v="5"/>
          </reference>
        </references>
      </pivotArea>
    </format>
    <format dxfId="4175">
      <pivotArea dataOnly="0" labelOnly="1" outline="0" fieldPosition="0">
        <references count="5">
          <reference field="1" count="1" selected="0">
            <x v="0"/>
          </reference>
          <reference field="2" count="1" selected="0">
            <x v="2"/>
          </reference>
          <reference field="3" count="1" selected="0">
            <x v="7"/>
          </reference>
          <reference field="5" count="1" selected="0">
            <x v="4"/>
          </reference>
          <reference field="13" count="1">
            <x v="3"/>
          </reference>
        </references>
      </pivotArea>
    </format>
    <format dxfId="4173">
      <pivotArea dataOnly="0" labelOnly="1" outline="0" fieldPosition="0">
        <references count="5">
          <reference field="1" count="1" selected="0">
            <x v="0"/>
          </reference>
          <reference field="2" count="1" selected="0">
            <x v="2"/>
          </reference>
          <reference field="3" count="1" selected="0">
            <x v="10"/>
          </reference>
          <reference field="5" count="1" selected="0">
            <x v="4"/>
          </reference>
          <reference field="13" count="1">
            <x v="8"/>
          </reference>
        </references>
      </pivotArea>
    </format>
    <format dxfId="4171">
      <pivotArea dataOnly="0" labelOnly="1" outline="0" fieldPosition="0">
        <references count="5">
          <reference field="1" count="1" selected="0">
            <x v="1"/>
          </reference>
          <reference field="2" count="1" selected="0">
            <x v="4"/>
          </reference>
          <reference field="3" count="1" selected="0">
            <x v="18"/>
          </reference>
          <reference field="5" count="1" selected="0">
            <x v="1"/>
          </reference>
          <reference field="13" count="1">
            <x v="2"/>
          </reference>
        </references>
      </pivotArea>
    </format>
    <format dxfId="4169">
      <pivotArea dataOnly="0" labelOnly="1" outline="0" fieldPosition="0">
        <references count="5">
          <reference field="1" count="1" selected="0">
            <x v="1"/>
          </reference>
          <reference field="2" count="1" selected="0">
            <x v="4"/>
          </reference>
          <reference field="3" count="1" selected="0">
            <x v="2"/>
          </reference>
          <reference field="5" count="1" selected="0">
            <x v="2"/>
          </reference>
          <reference field="13" count="1">
            <x v="13"/>
          </reference>
        </references>
      </pivotArea>
    </format>
    <format dxfId="4167">
      <pivotArea dataOnly="0" labelOnly="1" outline="0" fieldPosition="0">
        <references count="5">
          <reference field="1" count="1" selected="0">
            <x v="1"/>
          </reference>
          <reference field="2" count="1" selected="0">
            <x v="4"/>
          </reference>
          <reference field="3" count="1" selected="0">
            <x v="8"/>
          </reference>
          <reference field="5" count="1" selected="0">
            <x v="3"/>
          </reference>
          <reference field="13" count="1">
            <x v="9"/>
          </reference>
        </references>
      </pivotArea>
    </format>
    <format dxfId="4165">
      <pivotArea dataOnly="0" labelOnly="1" outline="0" fieldPosition="0">
        <references count="5">
          <reference field="1" count="1" selected="0">
            <x v="1"/>
          </reference>
          <reference field="2" count="1" selected="0">
            <x v="4"/>
          </reference>
          <reference field="3" count="1" selected="0">
            <x v="8"/>
          </reference>
          <reference field="5" count="1" selected="0">
            <x v="4"/>
          </reference>
          <reference field="13" count="1">
            <x v="7"/>
          </reference>
        </references>
      </pivotArea>
    </format>
    <format dxfId="4163">
      <pivotArea dataOnly="0" labelOnly="1" outline="0" fieldPosition="0">
        <references count="5">
          <reference field="1" count="1" selected="0">
            <x v="1"/>
          </reference>
          <reference field="2" count="1" selected="0">
            <x v="4"/>
          </reference>
          <reference field="3" count="1" selected="0">
            <x v="18"/>
          </reference>
          <reference field="5" count="1" selected="0">
            <x v="4"/>
          </reference>
          <reference field="13" count="1">
            <x v="11"/>
          </reference>
        </references>
      </pivotArea>
    </format>
    <format dxfId="4161">
      <pivotArea dataOnly="0" labelOnly="1" outline="0" fieldPosition="0">
        <references count="5">
          <reference field="1" count="1" selected="0">
            <x v="2"/>
          </reference>
          <reference field="2" count="1" selected="0">
            <x v="0"/>
          </reference>
          <reference field="3" count="1" selected="0">
            <x v="4"/>
          </reference>
          <reference field="5" count="1" selected="0">
            <x v="0"/>
          </reference>
          <reference field="13" count="1">
            <x v="12"/>
          </reference>
        </references>
      </pivotArea>
    </format>
    <format dxfId="4159">
      <pivotArea dataOnly="0" labelOnly="1" outline="0" fieldPosition="0">
        <references count="5">
          <reference field="1" count="1" selected="0">
            <x v="2"/>
          </reference>
          <reference field="2" count="1" selected="0">
            <x v="0"/>
          </reference>
          <reference field="3" count="1" selected="0">
            <x v="13"/>
          </reference>
          <reference field="5" count="1" selected="0">
            <x v="1"/>
          </reference>
          <reference field="13" count="1">
            <x v="24"/>
          </reference>
        </references>
      </pivotArea>
    </format>
    <format dxfId="4157">
      <pivotArea dataOnly="0" labelOnly="1" outline="0" fieldPosition="0">
        <references count="5">
          <reference field="1" count="1" selected="0">
            <x v="2"/>
          </reference>
          <reference field="2" count="1" selected="0">
            <x v="0"/>
          </reference>
          <reference field="3" count="1" selected="0">
            <x v="16"/>
          </reference>
          <reference field="5" count="1" selected="0">
            <x v="3"/>
          </reference>
          <reference field="13" count="1">
            <x v="29"/>
          </reference>
        </references>
      </pivotArea>
    </format>
    <format dxfId="4155">
      <pivotArea dataOnly="0" labelOnly="1" outline="0" fieldPosition="0">
        <references count="5">
          <reference field="1" count="1" selected="0">
            <x v="2"/>
          </reference>
          <reference field="2" count="1" selected="0">
            <x v="0"/>
          </reference>
          <reference field="3" count="1" selected="0">
            <x v="13"/>
          </reference>
          <reference field="5" count="1" selected="0">
            <x v="4"/>
          </reference>
          <reference field="13" count="1">
            <x v="6"/>
          </reference>
        </references>
      </pivotArea>
    </format>
    <format dxfId="4153">
      <pivotArea dataOnly="0" labelOnly="1" outline="0" fieldPosition="0">
        <references count="5">
          <reference field="1" count="1" selected="0">
            <x v="2"/>
          </reference>
          <reference field="2" count="1" selected="0">
            <x v="0"/>
          </reference>
          <reference field="3" count="1" selected="0">
            <x v="16"/>
          </reference>
          <reference field="5" count="1" selected="0">
            <x v="4"/>
          </reference>
          <reference field="13" count="1">
            <x v="4"/>
          </reference>
        </references>
      </pivotArea>
    </format>
    <format dxfId="4151">
      <pivotArea dataOnly="0" labelOnly="1" outline="0" fieldPosition="0">
        <references count="5">
          <reference field="1" count="1" selected="0">
            <x v="3"/>
          </reference>
          <reference field="2" count="1" selected="0">
            <x v="3"/>
          </reference>
          <reference field="3" count="1" selected="0">
            <x v="9"/>
          </reference>
          <reference field="5" count="1" selected="0">
            <x v="1"/>
          </reference>
          <reference field="13" count="1">
            <x v="17"/>
          </reference>
        </references>
      </pivotArea>
    </format>
    <format dxfId="4149">
      <pivotArea dataOnly="0" labelOnly="1" outline="0" fieldPosition="0">
        <references count="5">
          <reference field="1" count="1" selected="0">
            <x v="3"/>
          </reference>
          <reference field="2" count="1" selected="0">
            <x v="3"/>
          </reference>
          <reference field="3" count="1" selected="0">
            <x v="3"/>
          </reference>
          <reference field="5" count="1" selected="0">
            <x v="3"/>
          </reference>
          <reference field="13" count="1">
            <x v="21"/>
          </reference>
        </references>
      </pivotArea>
    </format>
    <format dxfId="4147">
      <pivotArea dataOnly="0" labelOnly="1" outline="0" fieldPosition="0">
        <references count="5">
          <reference field="1" count="1" selected="0">
            <x v="3"/>
          </reference>
          <reference field="2" count="1" selected="0">
            <x v="3"/>
          </reference>
          <reference field="3" count="1" selected="0">
            <x v="11"/>
          </reference>
          <reference field="5" count="1" selected="0">
            <x v="3"/>
          </reference>
          <reference field="13" count="1">
            <x v="27"/>
          </reference>
        </references>
      </pivotArea>
    </format>
    <format dxfId="4145">
      <pivotArea dataOnly="0" labelOnly="1" outline="0" fieldPosition="0">
        <references count="5">
          <reference field="1" count="1" selected="0">
            <x v="3"/>
          </reference>
          <reference field="2" count="1" selected="0">
            <x v="3"/>
          </reference>
          <reference field="3" count="1" selected="0">
            <x v="0"/>
          </reference>
          <reference field="5" count="1" selected="0">
            <x v="4"/>
          </reference>
          <reference field="13" count="1">
            <x v="16"/>
          </reference>
        </references>
      </pivotArea>
    </format>
    <format dxfId="4143">
      <pivotArea dataOnly="0" labelOnly="1" outline="0" fieldPosition="0">
        <references count="5">
          <reference field="1" count="1" selected="0">
            <x v="3"/>
          </reference>
          <reference field="2" count="1" selected="0">
            <x v="3"/>
          </reference>
          <reference field="3" count="1" selected="0">
            <x v="11"/>
          </reference>
          <reference field="5" count="1" selected="0">
            <x v="4"/>
          </reference>
          <reference field="13" count="1">
            <x v="0"/>
          </reference>
        </references>
      </pivotArea>
    </format>
    <format dxfId="4141">
      <pivotArea dataOnly="0" labelOnly="1" outline="0" fieldPosition="0">
        <references count="5">
          <reference field="1" count="1" selected="0">
            <x v="4"/>
          </reference>
          <reference field="2" count="1" selected="0">
            <x v="1"/>
          </reference>
          <reference field="3" count="1" selected="0">
            <x v="17"/>
          </reference>
          <reference field="5" count="1" selected="0">
            <x v="1"/>
          </reference>
          <reference field="13" count="1">
            <x v="14"/>
          </reference>
        </references>
      </pivotArea>
    </format>
    <format dxfId="4139">
      <pivotArea dataOnly="0" labelOnly="1" outline="0" fieldPosition="0">
        <references count="5">
          <reference field="1" count="1" selected="0">
            <x v="4"/>
          </reference>
          <reference field="2" count="1" selected="0">
            <x v="1"/>
          </reference>
          <reference field="3" count="1" selected="0">
            <x v="15"/>
          </reference>
          <reference field="5" count="1" selected="0">
            <x v="2"/>
          </reference>
          <reference field="13" count="1">
            <x v="10"/>
          </reference>
        </references>
      </pivotArea>
    </format>
    <format dxfId="4137">
      <pivotArea dataOnly="0" labelOnly="1" outline="0" fieldPosition="0">
        <references count="5">
          <reference field="1" count="1" selected="0">
            <x v="4"/>
          </reference>
          <reference field="2" count="1" selected="0">
            <x v="1"/>
          </reference>
          <reference field="3" count="1" selected="0">
            <x v="1"/>
          </reference>
          <reference field="5" count="1" selected="0">
            <x v="3"/>
          </reference>
          <reference field="13" count="1">
            <x v="28"/>
          </reference>
        </references>
      </pivotArea>
    </format>
    <format dxfId="4135">
      <pivotArea dataOnly="0" labelOnly="1" outline="0" fieldPosition="0">
        <references count="5">
          <reference field="1" count="1" selected="0">
            <x v="4"/>
          </reference>
          <reference field="2" count="1" selected="0">
            <x v="1"/>
          </reference>
          <reference field="3" count="1" selected="0">
            <x v="1"/>
          </reference>
          <reference field="5" count="1" selected="0">
            <x v="4"/>
          </reference>
          <reference field="13" count="1">
            <x v="15"/>
          </reference>
        </references>
      </pivotArea>
    </format>
    <format dxfId="4133">
      <pivotArea dataOnly="0" labelOnly="1" outline="0" fieldPosition="0">
        <references count="5">
          <reference field="1" count="1" selected="0">
            <x v="4"/>
          </reference>
          <reference field="2" count="1" selected="0">
            <x v="1"/>
          </reference>
          <reference field="3" count="1" selected="0">
            <x v="17"/>
          </reference>
          <reference field="5" count="1" selected="0">
            <x v="4"/>
          </reference>
          <reference field="13" count="1">
            <x v="23"/>
          </reference>
        </references>
      </pivotArea>
    </format>
    <format dxfId="4131">
      <pivotArea dataOnly="0" labelOnly="1" outline="0" fieldPosition="0">
        <references count="5">
          <reference field="1" count="1" selected="0">
            <x v="5"/>
          </reference>
          <reference field="2" count="1" selected="0">
            <x v="5"/>
          </reference>
          <reference field="3" count="1" selected="0">
            <x v="5"/>
          </reference>
          <reference field="5" count="1" selected="0">
            <x v="1"/>
          </reference>
          <reference field="13" count="1">
            <x v="18"/>
          </reference>
        </references>
      </pivotArea>
    </format>
    <format dxfId="4129">
      <pivotArea dataOnly="0" labelOnly="1" outline="0" fieldPosition="0">
        <references count="5">
          <reference field="1" count="1" selected="0">
            <x v="5"/>
          </reference>
          <reference field="2" count="1" selected="0">
            <x v="5"/>
          </reference>
          <reference field="3" count="1" selected="0">
            <x v="6"/>
          </reference>
          <reference field="5" count="1" selected="0">
            <x v="3"/>
          </reference>
          <reference field="13" count="1">
            <x v="20"/>
          </reference>
        </references>
      </pivotArea>
    </format>
    <format dxfId="4127">
      <pivotArea dataOnly="0" labelOnly="1" outline="0" fieldPosition="0">
        <references count="5">
          <reference field="1" count="1" selected="0">
            <x v="5"/>
          </reference>
          <reference field="2" count="1" selected="0">
            <x v="5"/>
          </reference>
          <reference field="3" count="1" selected="0">
            <x v="14"/>
          </reference>
          <reference field="5" count="1" selected="0">
            <x v="3"/>
          </reference>
          <reference field="13" count="1">
            <x v="26"/>
          </reference>
        </references>
      </pivotArea>
    </format>
    <format dxfId="4125">
      <pivotArea dataOnly="0" labelOnly="1" outline="0" fieldPosition="0">
        <references count="5">
          <reference field="1" count="1" selected="0">
            <x v="5"/>
          </reference>
          <reference field="2" count="1" selected="0">
            <x v="5"/>
          </reference>
          <reference field="3" count="1" selected="0">
            <x v="5"/>
          </reference>
          <reference field="5" count="1" selected="0">
            <x v="4"/>
          </reference>
          <reference field="13" count="1">
            <x v="1"/>
          </reference>
        </references>
      </pivotArea>
    </format>
    <format dxfId="4123">
      <pivotArea dataOnly="0" labelOnly="1" outline="0" fieldPosition="0">
        <references count="5">
          <reference field="1" count="1" selected="0">
            <x v="5"/>
          </reference>
          <reference field="2" count="1" selected="0">
            <x v="5"/>
          </reference>
          <reference field="3" count="1" selected="0">
            <x v="14"/>
          </reference>
          <reference field="5" count="1" selected="0">
            <x v="4"/>
          </reference>
          <reference field="13" count="1">
            <x v="19"/>
          </reference>
        </references>
      </pivotArea>
    </format>
    <format dxfId="4121">
      <pivotArea field="5" type="button" dataOnly="0" labelOnly="1" outline="0" axis="axisRow" fieldPosition="2"/>
    </format>
    <format dxfId="4119">
      <pivotArea field="3" type="button" dataOnly="0" labelOnly="1" outline="0" axis="axisRow" fieldPosition="3"/>
    </format>
    <format dxfId="4117">
      <pivotArea field="2" type="button" dataOnly="0" labelOnly="1" outline="0" axis="axisRow" fieldPosition="1"/>
    </format>
    <format dxfId="4115">
      <pivotArea field="1" type="button" dataOnly="0" labelOnly="1" outline="0" axis="axisRow" fieldPosition="0"/>
    </format>
    <format dxfId="4112">
      <pivotArea dataOnly="0" labelOnly="1" grandRow="1" outline="0" fieldPosition="0"/>
    </format>
    <format dxfId="2094">
      <pivotArea dataOnly="0" labelOnly="1" outline="0" fieldPosition="0">
        <references count="1">
          <reference field="5" count="0"/>
        </references>
      </pivotArea>
    </format>
    <format dxfId="2087">
      <pivotArea dataOnly="0" labelOnly="1" outline="0" fieldPosition="0">
        <references count="1">
          <reference field="2" count="0"/>
        </references>
      </pivotArea>
    </format>
    <format dxfId="2080">
      <pivotArea dataOnly="0" labelOnly="1" outline="0" fieldPosition="0">
        <references count="1">
          <reference field="1" count="0"/>
        </references>
      </pivotArea>
    </format>
    <format dxfId="2056">
      <pivotArea dataOnly="0" labelOnly="1" outline="0" fieldPosition="0">
        <references count="1">
          <reference field="13" count="0"/>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7FC7637-E762-425D-986F-75A669631443}" sourceName="Date">
  <pivotTables>
    <pivotTable tabId="3" name="PivotTable4"/>
  </pivotTables>
  <data>
    <tabular pivotCacheId="1359374211" sortOrder="descending">
      <items count="60">
        <i x="29" s="1"/>
        <i x="28" s="1"/>
        <i x="27" s="1"/>
        <i x="26" s="1"/>
        <i x="25" s="1"/>
        <i x="24" s="1"/>
        <i x="23" s="1"/>
        <i x="22" s="1"/>
        <i x="21" s="1"/>
        <i x="20" s="1"/>
        <i x="19" s="1"/>
        <i x="18" s="1"/>
        <i x="17" s="1"/>
        <i x="16" s="1"/>
        <i x="15" s="1"/>
        <i x="14" s="1"/>
        <i x="13" s="1"/>
        <i x="12" s="1"/>
        <i x="11" s="1"/>
        <i x="10" s="1"/>
        <i x="9" s="1"/>
        <i x="8" s="1"/>
        <i x="7" s="1"/>
        <i x="6" s="1"/>
        <i x="5" s="1"/>
        <i x="4" s="1"/>
        <i x="3" s="1"/>
        <i x="2" s="1"/>
        <i x="1" s="1"/>
        <i x="0" s="1"/>
        <i x="59" s="1" nd="1"/>
        <i x="58" s="1" nd="1"/>
        <i x="57" s="1" nd="1"/>
        <i x="56" s="1" nd="1"/>
        <i x="55" s="1" nd="1"/>
        <i x="54" s="1" nd="1"/>
        <i x="53" s="1" nd="1"/>
        <i x="52" s="1" nd="1"/>
        <i x="51" s="1" nd="1"/>
        <i x="50" s="1" nd="1"/>
        <i x="49" s="1" nd="1"/>
        <i x="48" s="1" nd="1"/>
        <i x="47" s="1" nd="1"/>
        <i x="46" s="1" nd="1"/>
        <i x="45" s="1" nd="1"/>
        <i x="44" s="1" nd="1"/>
        <i x="43" s="1" nd="1"/>
        <i x="42" s="1" nd="1"/>
        <i x="41" s="1" nd="1"/>
        <i x="40" s="1" nd="1"/>
        <i x="39" s="1" nd="1"/>
        <i x="38" s="1" nd="1"/>
        <i x="37" s="1" nd="1"/>
        <i x="36" s="1" nd="1"/>
        <i x="35" s="1" nd="1"/>
        <i x="34" s="1" nd="1"/>
        <i x="33" s="1" nd="1"/>
        <i x="32" s="1" nd="1"/>
        <i x="31" s="1" nd="1"/>
        <i x="30"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ganization" xr10:uid="{B767AB47-8084-424D-8618-21AB9CE3B71D}" sourceName="Organization">
  <pivotTables>
    <pivotTable tabId="3" name="PivotTable4"/>
  </pivotTables>
  <data>
    <tabular pivotCacheId="1359374211">
      <items count="6">
        <i x="2" s="1"/>
        <i x="1" s="1"/>
        <i x="5" s="1"/>
        <i x="0" s="1"/>
        <i x="3" s="1"/>
        <i x="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___Department" xr10:uid="{DC78E659-F598-4B5A-90B9-AF0EA091D2A0}" sourceName="Program / Department">
  <pivotTables>
    <pivotTable tabId="3" name="PivotTable4"/>
  </pivotTables>
  <data>
    <tabular pivotCacheId="1359374211">
      <items count="6">
        <i x="5" s="1"/>
        <i x="3" s="1"/>
        <i x="2" s="1"/>
        <i x="0" s="1"/>
        <i x="1" s="1"/>
        <i x="4"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1A63B148-2CFF-40A8-A589-718A64F4953B}" sourceName="Date">
  <pivotTables>
    <pivotTable tabId="5" name="PivotTable4"/>
  </pivotTables>
  <data>
    <tabular pivotCacheId="1359374211" sortOrder="descending">
      <items count="60">
        <i x="29" s="1"/>
        <i x="28" s="1"/>
        <i x="27" s="1"/>
        <i x="26" s="1"/>
        <i x="25" s="1"/>
        <i x="24" s="1"/>
        <i x="23" s="1"/>
        <i x="22" s="1"/>
        <i x="21" s="1"/>
        <i x="20" s="1"/>
        <i x="19" s="1"/>
        <i x="18" s="1"/>
        <i x="17" s="1"/>
        <i x="16" s="1"/>
        <i x="15" s="1"/>
        <i x="14" s="1"/>
        <i x="13" s="1"/>
        <i x="12" s="1"/>
        <i x="11" s="1"/>
        <i x="10" s="1"/>
        <i x="9" s="1"/>
        <i x="8" s="1"/>
        <i x="7" s="1"/>
        <i x="6" s="1"/>
        <i x="5" s="1"/>
        <i x="4" s="1"/>
        <i x="3" s="1"/>
        <i x="2" s="1"/>
        <i x="1" s="1"/>
        <i x="0" s="1"/>
        <i x="59" s="1" nd="1"/>
        <i x="58" s="1" nd="1"/>
        <i x="57" s="1" nd="1"/>
        <i x="56" s="1" nd="1"/>
        <i x="55" s="1" nd="1"/>
        <i x="54" s="1" nd="1"/>
        <i x="53" s="1" nd="1"/>
        <i x="52" s="1" nd="1"/>
        <i x="51" s="1" nd="1"/>
        <i x="50" s="1" nd="1"/>
        <i x="49" s="1" nd="1"/>
        <i x="48" s="1" nd="1"/>
        <i x="47" s="1" nd="1"/>
        <i x="46" s="1" nd="1"/>
        <i x="45" s="1" nd="1"/>
        <i x="44" s="1" nd="1"/>
        <i x="43" s="1" nd="1"/>
        <i x="42" s="1" nd="1"/>
        <i x="41" s="1" nd="1"/>
        <i x="40" s="1" nd="1"/>
        <i x="39" s="1" nd="1"/>
        <i x="38" s="1" nd="1"/>
        <i x="37" s="1" nd="1"/>
        <i x="36" s="1" nd="1"/>
        <i x="35" s="1" nd="1"/>
        <i x="34" s="1" nd="1"/>
        <i x="33" s="1" nd="1"/>
        <i x="32" s="1" nd="1"/>
        <i x="31" s="1" nd="1"/>
        <i x="30"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ganization1" xr10:uid="{AC7C9844-83BE-43FA-9881-5C65BB3FC8F0}" sourceName="Organization">
  <pivotTables>
    <pivotTable tabId="5" name="PivotTable4"/>
  </pivotTables>
  <data>
    <tabular pivotCacheId="1359374211">
      <items count="6">
        <i x="2" s="1"/>
        <i x="1" s="1"/>
        <i x="5" s="1"/>
        <i x="0" s="1"/>
        <i x="3" s="1"/>
        <i x="4"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___Department1" xr10:uid="{A2C9D409-77BD-481A-88AE-418FD83CF750}" sourceName="Program / Department">
  <pivotTables>
    <pivotTable tabId="5" name="PivotTable4"/>
  </pivotTables>
  <data>
    <tabular pivotCacheId="1359374211">
      <items count="6">
        <i x="5" s="1"/>
        <i x="3" s="1"/>
        <i x="2" s="1"/>
        <i x="0" s="1"/>
        <i x="1" s="1"/>
        <i x="4" s="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_Category" xr10:uid="{E45AC500-38D4-4EEC-8EC2-B010588FA726}" sourceName="Result Category">
  <pivotTables>
    <pivotTable tabId="5" name="PivotTable4"/>
  </pivotTables>
  <data>
    <tabular pivotCacheId="1359374211">
      <items count="5">
        <i x="4" s="1"/>
        <i x="1" s="1"/>
        <i x="3" s="1"/>
        <i x="0" s="1"/>
        <i x="2" s="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_Category1" xr10:uid="{13A91662-181B-4671-830B-9BE5945F51C2}" sourceName="Result Category">
  <pivotTables>
    <pivotTable tabId="3" name="PivotTable4"/>
  </pivotTables>
  <data>
    <tabular pivotCacheId="1359374211">
      <items count="5">
        <i x="4" s="1"/>
        <i x="1" s="1"/>
        <i x="3" s="1"/>
        <i x="0" s="1"/>
        <i x="2" s="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_Category2" xr10:uid="{0D8987CA-E839-4AA3-BC4A-80290215B416}" sourceName="Result Category">
  <pivotTables>
    <pivotTable tabId="6" name="PivotTable4"/>
  </pivotTables>
  <data>
    <tabular pivotCacheId="1359374211">
      <items count="5">
        <i x="4" s="1"/>
        <i x="1" s="1"/>
        <i x="3" s="1"/>
        <i x="0" s="1"/>
        <i x="2" s="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1" xr10:uid="{65607CA5-984E-401F-B617-EF1473903825}" sourceName="Date">
  <pivotTables>
    <pivotTable tabId="6" name="PivotTable4"/>
  </pivotTables>
  <data>
    <tabular pivotCacheId="1359374211" sortOrder="descending">
      <items count="60">
        <i x="29" s="1"/>
        <i x="28" s="1"/>
        <i x="27" s="1"/>
        <i x="26" s="1"/>
        <i x="25" s="1"/>
        <i x="24" s="1"/>
        <i x="23" s="1"/>
        <i x="22" s="1"/>
        <i x="21" s="1"/>
        <i x="20" s="1"/>
        <i x="19" s="1"/>
        <i x="18" s="1"/>
        <i x="17" s="1"/>
        <i x="16" s="1"/>
        <i x="15" s="1"/>
        <i x="14" s="1"/>
        <i x="13" s="1"/>
        <i x="12" s="1"/>
        <i x="11" s="1"/>
        <i x="10" s="1"/>
        <i x="9" s="1"/>
        <i x="8" s="1"/>
        <i x="7" s="1"/>
        <i x="6" s="1"/>
        <i x="5" s="1"/>
        <i x="4" s="1"/>
        <i x="3" s="1"/>
        <i x="2" s="1"/>
        <i x="1" s="1"/>
        <i x="0" s="1"/>
        <i x="59" s="1" nd="1"/>
        <i x="58" s="1" nd="1"/>
        <i x="57" s="1" nd="1"/>
        <i x="56" s="1" nd="1"/>
        <i x="55" s="1" nd="1"/>
        <i x="54" s="1" nd="1"/>
        <i x="53" s="1" nd="1"/>
        <i x="52" s="1" nd="1"/>
        <i x="51" s="1" nd="1"/>
        <i x="50" s="1" nd="1"/>
        <i x="49" s="1" nd="1"/>
        <i x="48" s="1" nd="1"/>
        <i x="47" s="1" nd="1"/>
        <i x="46" s="1" nd="1"/>
        <i x="45" s="1" nd="1"/>
        <i x="44" s="1" nd="1"/>
        <i x="43" s="1" nd="1"/>
        <i x="42" s="1" nd="1"/>
        <i x="41" s="1" nd="1"/>
        <i x="40" s="1" nd="1"/>
        <i x="39" s="1" nd="1"/>
        <i x="38" s="1" nd="1"/>
        <i x="37" s="1" nd="1"/>
        <i x="36" s="1" nd="1"/>
        <i x="35" s="1" nd="1"/>
        <i x="34" s="1" nd="1"/>
        <i x="33" s="1" nd="1"/>
        <i x="32" s="1" nd="1"/>
        <i x="31" s="1" nd="1"/>
        <i x="30" s="1" nd="1"/>
      </items>
    </tabular>
  </data>
  <extLs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ganization11" xr10:uid="{DAEA179B-0F46-4BAB-9A83-146EC9A5589E}" sourceName="Organization">
  <pivotTables>
    <pivotTable tabId="6" name="PivotTable4"/>
  </pivotTables>
  <data>
    <tabular pivotCacheId="1359374211">
      <items count="6">
        <i x="2" s="1"/>
        <i x="1" s="1"/>
        <i x="5" s="1"/>
        <i x="0" s="1"/>
        <i x="3" s="1"/>
        <i x="4" s="1"/>
      </items>
    </tabular>
  </data>
  <extLs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___Department11" xr10:uid="{D873218E-4F2C-45CA-B596-DDD919C63A5C}" sourceName="Program / Department">
  <pivotTables>
    <pivotTable tabId="6" name="PivotTable4"/>
  </pivotTables>
  <data>
    <tabular pivotCacheId="1359374211">
      <items count="6">
        <i x="5" s="1"/>
        <i x="3" s="1"/>
        <i x="2" s="1"/>
        <i x="0" s="1"/>
        <i x="1" s="1"/>
        <i x="4" s="1"/>
      </items>
    </tabular>
  </data>
  <extLst>
    <x:ext xmlns:x15="http://schemas.microsoft.com/office/spreadsheetml/2010/11/main" uri="{470722E0-AACD-4C17-9CDC-17EF765DBC7E}">
      <x15:slicerCacheHideItemsWithNoData/>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_Category21" xr10:uid="{FD135A8F-D13B-4E77-B47B-3A45E139C005}" sourceName="Result Category">
  <pivotTables>
    <pivotTable tabId="7" name="PivotTable4"/>
  </pivotTables>
  <data>
    <tabular pivotCacheId="1359374211">
      <items count="5">
        <i x="4" s="1"/>
        <i x="1" s="1"/>
        <i x="3" s="1"/>
        <i x="0" s="1"/>
        <i x="2" s="1"/>
      </items>
    </tabular>
  </data>
  <extLst>
    <x:ext xmlns:x15="http://schemas.microsoft.com/office/spreadsheetml/2010/11/main" uri="{470722E0-AACD-4C17-9CDC-17EF765DBC7E}">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11" xr10:uid="{D335A887-E4E3-4C8A-8940-78861A4ED942}" sourceName="Date">
  <pivotTables>
    <pivotTable tabId="7" name="PivotTable4"/>
  </pivotTables>
  <data>
    <tabular pivotCacheId="1359374211" sortOrder="descending">
      <items count="60">
        <i x="29" s="1"/>
        <i x="28" s="1"/>
        <i x="27" s="1"/>
        <i x="26" s="1"/>
        <i x="25" s="1"/>
        <i x="24" s="1"/>
        <i x="23" s="1"/>
        <i x="22" s="1"/>
        <i x="21" s="1"/>
        <i x="20" s="1"/>
        <i x="19" s="1"/>
        <i x="18" s="1"/>
        <i x="17" s="1"/>
        <i x="16" s="1"/>
        <i x="15" s="1"/>
        <i x="14" s="1"/>
        <i x="13" s="1"/>
        <i x="12" s="1"/>
        <i x="11" s="1"/>
        <i x="10" s="1"/>
        <i x="9" s="1"/>
        <i x="8" s="1"/>
        <i x="7" s="1"/>
        <i x="6" s="1"/>
        <i x="5" s="1"/>
        <i x="4" s="1"/>
        <i x="3" s="1"/>
        <i x="2" s="1"/>
        <i x="1" s="1"/>
        <i x="0" s="1"/>
        <i x="59" s="1" nd="1"/>
        <i x="58" s="1" nd="1"/>
        <i x="57" s="1" nd="1"/>
        <i x="56" s="1" nd="1"/>
        <i x="55" s="1" nd="1"/>
        <i x="54" s="1" nd="1"/>
        <i x="53" s="1" nd="1"/>
        <i x="52" s="1" nd="1"/>
        <i x="51" s="1" nd="1"/>
        <i x="50" s="1" nd="1"/>
        <i x="49" s="1" nd="1"/>
        <i x="48" s="1" nd="1"/>
        <i x="47" s="1" nd="1"/>
        <i x="46" s="1" nd="1"/>
        <i x="45" s="1" nd="1"/>
        <i x="44" s="1" nd="1"/>
        <i x="43" s="1" nd="1"/>
        <i x="42" s="1" nd="1"/>
        <i x="41" s="1" nd="1"/>
        <i x="40" s="1" nd="1"/>
        <i x="39" s="1" nd="1"/>
        <i x="38" s="1" nd="1"/>
        <i x="37" s="1" nd="1"/>
        <i x="36" s="1" nd="1"/>
        <i x="35" s="1" nd="1"/>
        <i x="34" s="1" nd="1"/>
        <i x="33" s="1" nd="1"/>
        <i x="32" s="1" nd="1"/>
        <i x="31" s="1" nd="1"/>
        <i x="30" s="1" nd="1"/>
      </items>
    </tabular>
  </data>
  <extLst>
    <x:ext xmlns:x15="http://schemas.microsoft.com/office/spreadsheetml/2010/11/main" uri="{470722E0-AACD-4C17-9CDC-17EF765DBC7E}">
      <x15:slicerCacheHideItemsWithNoData/>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ganization111" xr10:uid="{DDEB70D4-7F9E-45D6-8D69-32B1CB6F182F}" sourceName="Organization">
  <pivotTables>
    <pivotTable tabId="7" name="PivotTable4"/>
  </pivotTables>
  <data>
    <tabular pivotCacheId="1359374211">
      <items count="6">
        <i x="2" s="1"/>
        <i x="1" s="1"/>
        <i x="5" s="1"/>
        <i x="0" s="1"/>
        <i x="3" s="1"/>
        <i x="4" s="1"/>
      </items>
    </tabular>
  </data>
  <extLst>
    <x:ext xmlns:x15="http://schemas.microsoft.com/office/spreadsheetml/2010/11/main" uri="{470722E0-AACD-4C17-9CDC-17EF765DBC7E}">
      <x15:slicerCacheHideItemsWithNoData/>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___Department111" xr10:uid="{CB580826-FDC1-4523-BB5D-AAFF36324A6B}" sourceName="Program / Department">
  <pivotTables>
    <pivotTable tabId="7" name="PivotTable4"/>
  </pivotTables>
  <data>
    <tabular pivotCacheId="1359374211">
      <items count="6">
        <i x="5" s="1"/>
        <i x="3" s="1"/>
        <i x="2" s="1"/>
        <i x="0" s="1"/>
        <i x="1" s="1"/>
        <i x="4"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16264347-F680-4DBA-992D-8CF52C36D6CB}" cache="Slicer_Date" caption="Date" columnCount="5" style="SlicerStyleOther2" rowHeight="180000"/>
  <slicer name="Organization" xr10:uid="{03897E5A-390F-426E-BA19-7648DC42C762}" cache="Slicer_Organization" caption="Organization" columnCount="2" style="SlicerStyleOther2" rowHeight="241300"/>
  <slicer name="Program / Department" xr10:uid="{2434730B-EE78-4DFE-B1E9-0D09197BDF3B}" cache="Slicer_Program___Department" caption="Program / Department" columnCount="2" style="SlicerStyleOther2" rowHeight="241300"/>
  <slicer name="Result Category 1" xr10:uid="{659D077C-CBCC-4271-82A4-4A5FC50982FA}" cache="Slicer_Result_Category1" caption="Result Category"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65D5B168-07E1-468A-8A94-22232D04066E}" cache="Slicer_Date1" caption="Date" columnCount="5" style="SlicerStyleLight6" rowHeight="180000"/>
  <slicer name="Organization 1" xr10:uid="{C0DBD5F2-AE09-446E-8896-D4625252A398}" cache="Slicer_Organization1" caption="Organization" columnCount="2" style="SlicerStyleLight6" rowHeight="241300"/>
  <slicer name="Program / Department 1" xr10:uid="{219F9EE9-F68D-4228-B2A1-62111D33FA2A}" cache="Slicer_Program___Department1" caption="Program / Department" columnCount="2" style="SlicerStyleLight6" rowHeight="241300"/>
  <slicer name="Result Category" xr10:uid="{F6C616FC-6253-4E75-9C44-7A5E82C8DAB2}" cache="Slicer_Result_Category" caption="Result Category" columnCount="2"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ult Category 2" xr10:uid="{2294AD97-6400-4B1A-8377-9EDC68E4C252}" cache="Slicer_Result_Category2" caption="Result Category" columnCount="2" style="SlicerStyleLight4" rowHeight="241300"/>
  <slicer name="Date 2" xr10:uid="{E49E49EA-5BDE-4EE2-8539-989FE11B062B}" cache="Slicer_Date11" caption="Date" columnCount="5" style="SlicerStyleLight4" rowHeight="180000"/>
  <slicer name="Organization 2" xr10:uid="{6CC0F0F5-1DD1-4B88-B85F-3DE9872AEDA2}" cache="Slicer_Organization11" caption="Organization" columnCount="2" style="SlicerStyleLight4" rowHeight="241300"/>
  <slicer name="Program / Department 2" xr10:uid="{9F2EF460-B63C-49AE-BCA5-62BD4CC6D440}" cache="Slicer_Program___Department11" caption="Program / Department" columnCount="2" style="SlicerStyleLight4"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ult Category 3" xr10:uid="{C556315E-5D38-4DA4-96D9-14F7C2B1BAF6}" cache="Slicer_Result_Category21" caption="Result Category" columnCount="2" style="SlicerStyleLight2" rowHeight="241300"/>
  <slicer name="Date 3" xr10:uid="{F343F61A-2ACD-47B3-A5B9-A79A856F4810}" cache="Slicer_Date111" caption="Date" columnCount="5" style="SlicerStyleLight2" rowHeight="180000"/>
  <slicer name="Organization 3" xr10:uid="{31AD928C-D3EE-4A1D-9A21-B4C42C071BC4}" cache="Slicer_Organization111" caption="Organization" columnCount="2" style="SlicerStyleLight2" rowHeight="241300"/>
  <slicer name="Program / Department 3" xr10:uid="{B3D3A2BF-9816-44C3-B441-9C2BA716CC56}" cache="Slicer_Program___Department111" caption="Program / Department" columnCount="2"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3.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5.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pivotTable" Target="../pivotTables/pivotTable6.xml"/><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C9618-1F2D-4E37-99BA-E887F28E596C}">
  <sheetPr>
    <tabColor rgb="FF002060"/>
  </sheetPr>
  <dimension ref="B3:H22"/>
  <sheetViews>
    <sheetView workbookViewId="0">
      <selection activeCell="G17" sqref="G17"/>
    </sheetView>
  </sheetViews>
  <sheetFormatPr defaultRowHeight="15" x14ac:dyDescent="0.25"/>
  <cols>
    <col min="1" max="1" width="3.5703125" style="9" customWidth="1"/>
    <col min="2" max="2" width="19.7109375" style="9" bestFit="1" customWidth="1"/>
    <col min="3" max="3" width="9.28515625" style="10" bestFit="1" customWidth="1"/>
    <col min="4" max="4" width="4.85546875" style="10" bestFit="1" customWidth="1"/>
    <col min="5" max="5" width="7.5703125" style="10" bestFit="1" customWidth="1"/>
    <col min="6" max="6" width="9.42578125" style="10" bestFit="1" customWidth="1"/>
    <col min="7" max="7" width="8.7109375" style="10" bestFit="1" customWidth="1"/>
    <col min="8" max="8" width="11.140625" style="10" bestFit="1" customWidth="1"/>
    <col min="9" max="14" width="3" style="9" bestFit="1" customWidth="1"/>
    <col min="15" max="15" width="11.28515625" style="9" bestFit="1" customWidth="1"/>
    <col min="16" max="16384" width="9.140625" style="9"/>
  </cols>
  <sheetData>
    <row r="3" spans="2:8" x14ac:dyDescent="0.25">
      <c r="B3" s="3" t="s">
        <v>78</v>
      </c>
      <c r="C3" s="8" t="s">
        <v>81</v>
      </c>
      <c r="D3" s="6"/>
      <c r="E3" s="6"/>
      <c r="F3" s="6"/>
      <c r="G3" s="6"/>
      <c r="H3" s="6"/>
    </row>
    <row r="4" spans="2:8" x14ac:dyDescent="0.25">
      <c r="B4" s="3" t="s">
        <v>79</v>
      </c>
      <c r="C4" s="6" t="s">
        <v>44</v>
      </c>
      <c r="D4" s="6" t="s">
        <v>16</v>
      </c>
      <c r="E4" s="6" t="s">
        <v>33</v>
      </c>
      <c r="F4" s="6" t="s">
        <v>12</v>
      </c>
      <c r="G4" s="6" t="s">
        <v>20</v>
      </c>
      <c r="H4" s="6" t="s">
        <v>77</v>
      </c>
    </row>
    <row r="5" spans="2:8" x14ac:dyDescent="0.25">
      <c r="B5" s="4" t="s">
        <v>36</v>
      </c>
      <c r="C5" s="7">
        <v>1</v>
      </c>
      <c r="D5" s="7">
        <v>1</v>
      </c>
      <c r="E5" s="7"/>
      <c r="F5" s="7">
        <v>1</v>
      </c>
      <c r="G5" s="7">
        <v>2</v>
      </c>
      <c r="H5" s="7">
        <v>5</v>
      </c>
    </row>
    <row r="6" spans="2:8" x14ac:dyDescent="0.25">
      <c r="B6" s="4" t="s">
        <v>25</v>
      </c>
      <c r="C6" s="7"/>
      <c r="D6" s="7">
        <v>1</v>
      </c>
      <c r="E6" s="7">
        <v>1</v>
      </c>
      <c r="F6" s="7">
        <v>1</v>
      </c>
      <c r="G6" s="7">
        <v>2</v>
      </c>
      <c r="H6" s="7">
        <v>5</v>
      </c>
    </row>
    <row r="7" spans="2:8" x14ac:dyDescent="0.25">
      <c r="B7" s="4" t="s">
        <v>67</v>
      </c>
      <c r="C7" s="7">
        <v>1</v>
      </c>
      <c r="D7" s="7">
        <v>1</v>
      </c>
      <c r="E7" s="7"/>
      <c r="F7" s="7">
        <v>1</v>
      </c>
      <c r="G7" s="7">
        <v>2</v>
      </c>
      <c r="H7" s="7">
        <v>5</v>
      </c>
    </row>
    <row r="8" spans="2:8" x14ac:dyDescent="0.25">
      <c r="B8" s="4" t="s">
        <v>8</v>
      </c>
      <c r="C8" s="7"/>
      <c r="D8" s="7">
        <v>1</v>
      </c>
      <c r="E8" s="7"/>
      <c r="F8" s="7">
        <v>2</v>
      </c>
      <c r="G8" s="7">
        <v>2</v>
      </c>
      <c r="H8" s="7">
        <v>5</v>
      </c>
    </row>
    <row r="9" spans="2:8" x14ac:dyDescent="0.25">
      <c r="B9" s="4" t="s">
        <v>47</v>
      </c>
      <c r="C9" s="7"/>
      <c r="D9" s="7">
        <v>1</v>
      </c>
      <c r="E9" s="7">
        <v>1</v>
      </c>
      <c r="F9" s="7">
        <v>1</v>
      </c>
      <c r="G9" s="7">
        <v>2</v>
      </c>
      <c r="H9" s="7">
        <v>5</v>
      </c>
    </row>
    <row r="10" spans="2:8" x14ac:dyDescent="0.25">
      <c r="B10" s="4" t="s">
        <v>57</v>
      </c>
      <c r="C10" s="7"/>
      <c r="D10" s="7">
        <v>1</v>
      </c>
      <c r="E10" s="7"/>
      <c r="F10" s="7">
        <v>2</v>
      </c>
      <c r="G10" s="7">
        <v>2</v>
      </c>
      <c r="H10" s="7">
        <v>5</v>
      </c>
    </row>
    <row r="11" spans="2:8" x14ac:dyDescent="0.25">
      <c r="B11" s="4" t="s">
        <v>77</v>
      </c>
      <c r="C11" s="7">
        <v>2</v>
      </c>
      <c r="D11" s="7">
        <v>6</v>
      </c>
      <c r="E11" s="7">
        <v>2</v>
      </c>
      <c r="F11" s="7">
        <v>8</v>
      </c>
      <c r="G11" s="7">
        <v>12</v>
      </c>
      <c r="H11" s="7">
        <v>30</v>
      </c>
    </row>
    <row r="14" spans="2:8" x14ac:dyDescent="0.25">
      <c r="B14" s="3" t="s">
        <v>78</v>
      </c>
      <c r="C14" s="8" t="s">
        <v>81</v>
      </c>
      <c r="D14" s="6"/>
      <c r="E14" s="6"/>
      <c r="F14" s="6"/>
      <c r="G14" s="6"/>
      <c r="H14" s="6"/>
    </row>
    <row r="15" spans="2:8" x14ac:dyDescent="0.25">
      <c r="B15" s="3" t="s">
        <v>80</v>
      </c>
      <c r="C15" s="6" t="s">
        <v>44</v>
      </c>
      <c r="D15" s="6" t="s">
        <v>16</v>
      </c>
      <c r="E15" s="6" t="s">
        <v>33</v>
      </c>
      <c r="F15" s="6" t="s">
        <v>12</v>
      </c>
      <c r="G15" s="6" t="s">
        <v>20</v>
      </c>
      <c r="H15" s="6" t="s">
        <v>77</v>
      </c>
    </row>
    <row r="16" spans="2:8" x14ac:dyDescent="0.25">
      <c r="B16" s="4" t="s">
        <v>68</v>
      </c>
      <c r="C16" s="7">
        <v>1</v>
      </c>
      <c r="D16" s="7">
        <v>1</v>
      </c>
      <c r="E16" s="7"/>
      <c r="F16" s="7">
        <v>1</v>
      </c>
      <c r="G16" s="7">
        <v>2</v>
      </c>
      <c r="H16" s="7">
        <v>5</v>
      </c>
    </row>
    <row r="17" spans="2:8" x14ac:dyDescent="0.25">
      <c r="B17" s="4" t="s">
        <v>48</v>
      </c>
      <c r="C17" s="7"/>
      <c r="D17" s="7">
        <v>1</v>
      </c>
      <c r="E17" s="7">
        <v>1</v>
      </c>
      <c r="F17" s="7">
        <v>1</v>
      </c>
      <c r="G17" s="7">
        <v>2</v>
      </c>
      <c r="H17" s="7">
        <v>5</v>
      </c>
    </row>
    <row r="18" spans="2:8" x14ac:dyDescent="0.25">
      <c r="B18" s="4" t="s">
        <v>37</v>
      </c>
      <c r="C18" s="7">
        <v>1</v>
      </c>
      <c r="D18" s="7">
        <v>1</v>
      </c>
      <c r="E18" s="7"/>
      <c r="F18" s="7">
        <v>1</v>
      </c>
      <c r="G18" s="7">
        <v>2</v>
      </c>
      <c r="H18" s="7">
        <v>5</v>
      </c>
    </row>
    <row r="19" spans="2:8" x14ac:dyDescent="0.25">
      <c r="B19" s="4" t="s">
        <v>9</v>
      </c>
      <c r="C19" s="7"/>
      <c r="D19" s="7">
        <v>1</v>
      </c>
      <c r="E19" s="7"/>
      <c r="F19" s="7">
        <v>2</v>
      </c>
      <c r="G19" s="7">
        <v>2</v>
      </c>
      <c r="H19" s="7">
        <v>5</v>
      </c>
    </row>
    <row r="20" spans="2:8" x14ac:dyDescent="0.25">
      <c r="B20" s="4" t="s">
        <v>26</v>
      </c>
      <c r="C20" s="7"/>
      <c r="D20" s="7">
        <v>1</v>
      </c>
      <c r="E20" s="7">
        <v>1</v>
      </c>
      <c r="F20" s="7">
        <v>1</v>
      </c>
      <c r="G20" s="7">
        <v>2</v>
      </c>
      <c r="H20" s="7">
        <v>5</v>
      </c>
    </row>
    <row r="21" spans="2:8" x14ac:dyDescent="0.25">
      <c r="B21" s="4" t="s">
        <v>58</v>
      </c>
      <c r="C21" s="7"/>
      <c r="D21" s="7">
        <v>1</v>
      </c>
      <c r="E21" s="7"/>
      <c r="F21" s="7">
        <v>2</v>
      </c>
      <c r="G21" s="7">
        <v>2</v>
      </c>
      <c r="H21" s="7">
        <v>5</v>
      </c>
    </row>
    <row r="22" spans="2:8" x14ac:dyDescent="0.25">
      <c r="B22" s="4" t="s">
        <v>77</v>
      </c>
      <c r="C22" s="7">
        <v>2</v>
      </c>
      <c r="D22" s="7">
        <v>6</v>
      </c>
      <c r="E22" s="7">
        <v>2</v>
      </c>
      <c r="F22" s="7">
        <v>8</v>
      </c>
      <c r="G22" s="7">
        <v>12</v>
      </c>
      <c r="H22" s="7">
        <v>30</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966F8-7F70-49A0-9188-3881340BD943}">
  <sheetPr>
    <tabColor rgb="FF0070C0"/>
  </sheetPr>
  <dimension ref="B1:M41"/>
  <sheetViews>
    <sheetView zoomScale="85" zoomScaleNormal="85" workbookViewId="0">
      <selection activeCell="T3" sqref="T3"/>
    </sheetView>
  </sheetViews>
  <sheetFormatPr defaultRowHeight="15" x14ac:dyDescent="0.25"/>
  <cols>
    <col min="1" max="1" width="2.5703125" style="9" customWidth="1"/>
    <col min="2" max="2" width="21.5703125" style="9" bestFit="1" customWidth="1"/>
    <col min="3" max="3" width="25.7109375" style="9" bestFit="1" customWidth="1"/>
    <col min="4" max="4" width="17.5703125" style="9" bestFit="1" customWidth="1"/>
    <col min="5" max="5" width="8.85546875" style="10" bestFit="1" customWidth="1"/>
    <col min="6" max="6" width="3" style="17" customWidth="1"/>
    <col min="7" max="11" width="9.42578125" style="9" customWidth="1"/>
    <col min="12" max="14" width="9.5703125" style="9" customWidth="1"/>
    <col min="15" max="16384" width="9.140625" style="9"/>
  </cols>
  <sheetData>
    <row r="1" spans="2:7" x14ac:dyDescent="0.25">
      <c r="F1" s="20"/>
      <c r="G1" s="20"/>
    </row>
    <row r="2" spans="2:7" x14ac:dyDescent="0.25">
      <c r="F2" s="20"/>
      <c r="G2" s="20"/>
    </row>
    <row r="3" spans="2:7" x14ac:dyDescent="0.25">
      <c r="F3" s="20"/>
      <c r="G3" s="20"/>
    </row>
    <row r="4" spans="2:7" x14ac:dyDescent="0.25">
      <c r="F4" s="20"/>
      <c r="G4" s="20"/>
    </row>
    <row r="5" spans="2:7" x14ac:dyDescent="0.25">
      <c r="F5" s="20"/>
      <c r="G5" s="20"/>
    </row>
    <row r="6" spans="2:7" x14ac:dyDescent="0.25">
      <c r="F6" s="20"/>
      <c r="G6" s="20"/>
    </row>
    <row r="7" spans="2:7" x14ac:dyDescent="0.25">
      <c r="F7" s="20"/>
      <c r="G7" s="20"/>
    </row>
    <row r="9" spans="2:7" s="10" customFormat="1" x14ac:dyDescent="0.25">
      <c r="B9" s="5" t="s">
        <v>1</v>
      </c>
      <c r="C9" s="5" t="s">
        <v>2</v>
      </c>
      <c r="D9" s="5" t="s">
        <v>3</v>
      </c>
      <c r="E9" s="6" t="s">
        <v>82</v>
      </c>
      <c r="F9" s="16"/>
    </row>
    <row r="10" spans="2:7" x14ac:dyDescent="0.25">
      <c r="B10" s="1" t="s">
        <v>36</v>
      </c>
      <c r="C10"/>
      <c r="D10"/>
      <c r="E10" s="14">
        <v>0</v>
      </c>
    </row>
    <row r="11" spans="2:7" x14ac:dyDescent="0.25">
      <c r="B11"/>
      <c r="C11" s="1" t="s">
        <v>37</v>
      </c>
      <c r="D11"/>
      <c r="E11" s="14">
        <v>0</v>
      </c>
    </row>
    <row r="12" spans="2:7" x14ac:dyDescent="0.25">
      <c r="B12"/>
      <c r="C12"/>
      <c r="D12" s="1" t="s">
        <v>38</v>
      </c>
      <c r="E12" s="14">
        <v>1</v>
      </c>
    </row>
    <row r="13" spans="2:7" x14ac:dyDescent="0.25">
      <c r="B13"/>
      <c r="C13"/>
      <c r="D13" s="1" t="s">
        <v>40</v>
      </c>
      <c r="E13" s="14"/>
    </row>
    <row r="14" spans="2:7" x14ac:dyDescent="0.25">
      <c r="B14"/>
      <c r="C14"/>
      <c r="D14" s="1" t="s">
        <v>43</v>
      </c>
      <c r="E14" s="14">
        <v>-1</v>
      </c>
    </row>
    <row r="15" spans="2:7" x14ac:dyDescent="0.25">
      <c r="B15" s="1" t="s">
        <v>25</v>
      </c>
      <c r="C15"/>
      <c r="D15"/>
      <c r="E15" s="14">
        <v>0.5</v>
      </c>
    </row>
    <row r="16" spans="2:7" x14ac:dyDescent="0.25">
      <c r="B16"/>
      <c r="C16" s="1" t="s">
        <v>26</v>
      </c>
      <c r="D16"/>
      <c r="E16" s="14">
        <v>0.5</v>
      </c>
    </row>
    <row r="17" spans="2:5" x14ac:dyDescent="0.25">
      <c r="B17"/>
      <c r="C17"/>
      <c r="D17" s="1" t="s">
        <v>32</v>
      </c>
      <c r="E17" s="14">
        <v>0</v>
      </c>
    </row>
    <row r="18" spans="2:5" x14ac:dyDescent="0.25">
      <c r="B18"/>
      <c r="C18"/>
      <c r="D18" s="1" t="s">
        <v>27</v>
      </c>
      <c r="E18" s="14">
        <v>1</v>
      </c>
    </row>
    <row r="19" spans="2:5" x14ac:dyDescent="0.25">
      <c r="B19"/>
      <c r="C19"/>
      <c r="D19" s="1" t="s">
        <v>29</v>
      </c>
      <c r="E19" s="14"/>
    </row>
    <row r="20" spans="2:5" x14ac:dyDescent="0.25">
      <c r="B20" s="1" t="s">
        <v>67</v>
      </c>
      <c r="C20"/>
      <c r="D20"/>
      <c r="E20" s="14">
        <v>0</v>
      </c>
    </row>
    <row r="21" spans="2:5" x14ac:dyDescent="0.25">
      <c r="B21"/>
      <c r="C21" s="1" t="s">
        <v>68</v>
      </c>
      <c r="D21"/>
      <c r="E21" s="14">
        <v>0</v>
      </c>
    </row>
    <row r="22" spans="2:5" x14ac:dyDescent="0.25">
      <c r="B22"/>
      <c r="C22"/>
      <c r="D22" s="1" t="s">
        <v>74</v>
      </c>
      <c r="E22" s="14">
        <v>-1</v>
      </c>
    </row>
    <row r="23" spans="2:5" x14ac:dyDescent="0.25">
      <c r="B23"/>
      <c r="C23"/>
      <c r="D23" s="1" t="s">
        <v>71</v>
      </c>
      <c r="E23" s="14"/>
    </row>
    <row r="24" spans="2:5" x14ac:dyDescent="0.25">
      <c r="B24"/>
      <c r="C24"/>
      <c r="D24" s="1" t="s">
        <v>69</v>
      </c>
      <c r="E24" s="14">
        <v>1</v>
      </c>
    </row>
    <row r="25" spans="2:5" x14ac:dyDescent="0.25">
      <c r="B25" s="1" t="s">
        <v>8</v>
      </c>
      <c r="C25"/>
      <c r="D25"/>
      <c r="E25" s="14">
        <v>1</v>
      </c>
    </row>
    <row r="26" spans="2:5" x14ac:dyDescent="0.25">
      <c r="B26"/>
      <c r="C26" s="1" t="s">
        <v>9</v>
      </c>
      <c r="D26"/>
      <c r="E26" s="14">
        <v>1</v>
      </c>
    </row>
    <row r="27" spans="2:5" x14ac:dyDescent="0.25">
      <c r="B27"/>
      <c r="C27"/>
      <c r="D27" s="1" t="s">
        <v>18</v>
      </c>
      <c r="E27" s="14"/>
    </row>
    <row r="28" spans="2:5" x14ac:dyDescent="0.25">
      <c r="B28"/>
      <c r="C28"/>
      <c r="D28" s="1" t="s">
        <v>22</v>
      </c>
      <c r="E28" s="14">
        <v>1</v>
      </c>
    </row>
    <row r="29" spans="2:5" x14ac:dyDescent="0.25">
      <c r="B29"/>
      <c r="C29"/>
      <c r="D29" s="1" t="s">
        <v>14</v>
      </c>
      <c r="E29" s="14"/>
    </row>
    <row r="30" spans="2:5" x14ac:dyDescent="0.25">
      <c r="B30"/>
      <c r="C30"/>
      <c r="D30" s="1" t="s">
        <v>10</v>
      </c>
      <c r="E30" s="14">
        <v>1</v>
      </c>
    </row>
    <row r="31" spans="2:5" x14ac:dyDescent="0.25">
      <c r="B31" s="1" t="s">
        <v>47</v>
      </c>
      <c r="C31"/>
      <c r="D31"/>
      <c r="E31" s="14">
        <v>0.5</v>
      </c>
    </row>
    <row r="32" spans="2:5" x14ac:dyDescent="0.25">
      <c r="B32"/>
      <c r="C32" s="1" t="s">
        <v>48</v>
      </c>
      <c r="D32"/>
      <c r="E32" s="14">
        <v>0.5</v>
      </c>
    </row>
    <row r="33" spans="2:5" x14ac:dyDescent="0.25">
      <c r="B33"/>
      <c r="C33"/>
      <c r="D33" s="1" t="s">
        <v>49</v>
      </c>
      <c r="E33" s="14">
        <v>1</v>
      </c>
    </row>
    <row r="34" spans="2:5" x14ac:dyDescent="0.25">
      <c r="B34"/>
      <c r="C34"/>
      <c r="D34" s="1" t="s">
        <v>54</v>
      </c>
      <c r="E34" s="14">
        <v>0</v>
      </c>
    </row>
    <row r="35" spans="2:5" x14ac:dyDescent="0.25">
      <c r="B35"/>
      <c r="C35"/>
      <c r="D35" s="1" t="s">
        <v>51</v>
      </c>
      <c r="E35" s="14"/>
    </row>
    <row r="36" spans="2:5" x14ac:dyDescent="0.25">
      <c r="B36" s="1" t="s">
        <v>57</v>
      </c>
      <c r="C36"/>
      <c r="D36"/>
      <c r="E36" s="14">
        <v>1</v>
      </c>
    </row>
    <row r="37" spans="2:5" x14ac:dyDescent="0.25">
      <c r="B37"/>
      <c r="C37" s="1" t="s">
        <v>58</v>
      </c>
      <c r="D37"/>
      <c r="E37" s="14">
        <v>1</v>
      </c>
    </row>
    <row r="38" spans="2:5" x14ac:dyDescent="0.25">
      <c r="B38"/>
      <c r="C38"/>
      <c r="D38" s="1" t="s">
        <v>61</v>
      </c>
      <c r="E38" s="14"/>
    </row>
    <row r="39" spans="2:5" x14ac:dyDescent="0.25">
      <c r="B39"/>
      <c r="C39"/>
      <c r="D39" s="1" t="s">
        <v>64</v>
      </c>
      <c r="E39" s="14">
        <v>1</v>
      </c>
    </row>
    <row r="40" spans="2:5" x14ac:dyDescent="0.25">
      <c r="B40"/>
      <c r="C40"/>
      <c r="D40" s="1" t="s">
        <v>59</v>
      </c>
      <c r="E40" s="14">
        <v>1</v>
      </c>
    </row>
    <row r="41" spans="2:5" x14ac:dyDescent="0.25">
      <c r="B41" s="1" t="s">
        <v>77</v>
      </c>
      <c r="C41"/>
      <c r="D41"/>
      <c r="E41" s="14">
        <v>0.5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BF6FB-5898-4D7E-93F4-C64AEBCE4FF0}">
  <sheetPr>
    <tabColor rgb="FF00B050"/>
  </sheetPr>
  <dimension ref="B1:M65"/>
  <sheetViews>
    <sheetView zoomScale="85" zoomScaleNormal="85" workbookViewId="0">
      <selection activeCell="G1" sqref="G1"/>
    </sheetView>
  </sheetViews>
  <sheetFormatPr defaultRowHeight="15" x14ac:dyDescent="0.25"/>
  <cols>
    <col min="1" max="1" width="2.5703125" style="9" customWidth="1"/>
    <col min="2" max="2" width="21.5703125" style="9" bestFit="1" customWidth="1"/>
    <col min="3" max="3" width="25.7109375" style="9" bestFit="1" customWidth="1"/>
    <col min="4" max="4" width="17.5703125" style="9" bestFit="1" customWidth="1"/>
    <col min="5" max="5" width="7.140625" style="10" bestFit="1" customWidth="1"/>
    <col min="6" max="6" width="3" style="17" customWidth="1"/>
    <col min="7" max="11" width="9.42578125" style="9" customWidth="1"/>
    <col min="12" max="14" width="9.5703125" style="9" customWidth="1"/>
    <col min="15" max="16384" width="9.140625" style="9"/>
  </cols>
  <sheetData>
    <row r="1" spans="2:7" x14ac:dyDescent="0.25">
      <c r="F1" s="20"/>
      <c r="G1" s="20"/>
    </row>
    <row r="2" spans="2:7" x14ac:dyDescent="0.25">
      <c r="F2" s="20"/>
      <c r="G2" s="20"/>
    </row>
    <row r="3" spans="2:7" x14ac:dyDescent="0.25">
      <c r="F3" s="20"/>
      <c r="G3" s="20"/>
    </row>
    <row r="4" spans="2:7" x14ac:dyDescent="0.25">
      <c r="F4" s="20"/>
      <c r="G4" s="20"/>
    </row>
    <row r="5" spans="2:7" x14ac:dyDescent="0.25">
      <c r="F5" s="20"/>
      <c r="G5" s="20"/>
    </row>
    <row r="6" spans="2:7" x14ac:dyDescent="0.25">
      <c r="F6" s="20"/>
      <c r="G6" s="20"/>
    </row>
    <row r="7" spans="2:7" x14ac:dyDescent="0.25">
      <c r="F7" s="20"/>
      <c r="G7" s="20"/>
    </row>
    <row r="9" spans="2:7" s="10" customFormat="1" x14ac:dyDescent="0.25">
      <c r="B9" s="5" t="s">
        <v>1</v>
      </c>
      <c r="C9" s="5" t="s">
        <v>2</v>
      </c>
      <c r="D9" s="5" t="s">
        <v>3</v>
      </c>
      <c r="E9" s="6" t="s">
        <v>83</v>
      </c>
      <c r="F9" s="16"/>
    </row>
    <row r="10" spans="2:7" x14ac:dyDescent="0.25">
      <c r="B10" s="1" t="s">
        <v>36</v>
      </c>
      <c r="C10"/>
      <c r="D10"/>
      <c r="E10" s="14">
        <v>0.97</v>
      </c>
    </row>
    <row r="11" spans="2:7" x14ac:dyDescent="0.25">
      <c r="B11"/>
      <c r="C11" s="1" t="s">
        <v>37</v>
      </c>
      <c r="D11"/>
      <c r="E11" s="14">
        <v>0.97</v>
      </c>
    </row>
    <row r="12" spans="2:7" x14ac:dyDescent="0.25">
      <c r="B12"/>
      <c r="C12"/>
      <c r="D12" s="1" t="s">
        <v>38</v>
      </c>
      <c r="E12" s="14"/>
    </row>
    <row r="13" spans="2:7" x14ac:dyDescent="0.25">
      <c r="B13"/>
      <c r="C13"/>
      <c r="D13" s="1" t="s">
        <v>40</v>
      </c>
      <c r="E13" s="14">
        <v>0.97</v>
      </c>
    </row>
    <row r="14" spans="2:7" x14ac:dyDescent="0.25">
      <c r="B14"/>
      <c r="C14"/>
      <c r="D14" s="1" t="s">
        <v>43</v>
      </c>
      <c r="E14" s="14"/>
    </row>
    <row r="15" spans="2:7" x14ac:dyDescent="0.25">
      <c r="B15" s="1" t="s">
        <v>25</v>
      </c>
      <c r="C15"/>
      <c r="D15"/>
      <c r="E15" s="14">
        <v>0.94000000000000006</v>
      </c>
    </row>
    <row r="16" spans="2:7" x14ac:dyDescent="0.25">
      <c r="B16"/>
      <c r="C16" s="1" t="s">
        <v>26</v>
      </c>
      <c r="D16"/>
      <c r="E16" s="14">
        <v>0.94000000000000006</v>
      </c>
    </row>
    <row r="17" spans="2:5" x14ac:dyDescent="0.25">
      <c r="B17"/>
      <c r="C17"/>
      <c r="D17" s="1" t="s">
        <v>32</v>
      </c>
      <c r="E17" s="14"/>
    </row>
    <row r="18" spans="2:5" x14ac:dyDescent="0.25">
      <c r="B18"/>
      <c r="C18"/>
      <c r="D18" s="1" t="s">
        <v>27</v>
      </c>
      <c r="E18" s="14"/>
    </row>
    <row r="19" spans="2:5" x14ac:dyDescent="0.25">
      <c r="B19"/>
      <c r="C19"/>
      <c r="D19" s="1" t="s">
        <v>29</v>
      </c>
      <c r="E19" s="14">
        <v>0.94000000000000006</v>
      </c>
    </row>
    <row r="20" spans="2:5" x14ac:dyDescent="0.25">
      <c r="B20" s="1" t="s">
        <v>67</v>
      </c>
      <c r="C20"/>
      <c r="D20"/>
      <c r="E20" s="14">
        <v>0.96</v>
      </c>
    </row>
    <row r="21" spans="2:5" x14ac:dyDescent="0.25">
      <c r="B21"/>
      <c r="C21" s="1" t="s">
        <v>68</v>
      </c>
      <c r="D21"/>
      <c r="E21" s="14">
        <v>0.96</v>
      </c>
    </row>
    <row r="22" spans="2:5" x14ac:dyDescent="0.25">
      <c r="B22"/>
      <c r="C22"/>
      <c r="D22" s="1" t="s">
        <v>74</v>
      </c>
      <c r="E22" s="14"/>
    </row>
    <row r="23" spans="2:5" x14ac:dyDescent="0.25">
      <c r="B23"/>
      <c r="C23"/>
      <c r="D23" s="1" t="s">
        <v>71</v>
      </c>
      <c r="E23" s="14">
        <v>0.96</v>
      </c>
    </row>
    <row r="24" spans="2:5" x14ac:dyDescent="0.25">
      <c r="B24"/>
      <c r="C24"/>
      <c r="D24" s="1" t="s">
        <v>69</v>
      </c>
      <c r="E24" s="14"/>
    </row>
    <row r="25" spans="2:5" x14ac:dyDescent="0.25">
      <c r="B25" s="1" t="s">
        <v>8</v>
      </c>
      <c r="C25"/>
      <c r="D25"/>
      <c r="E25" s="14">
        <v>0.96</v>
      </c>
    </row>
    <row r="26" spans="2:5" x14ac:dyDescent="0.25">
      <c r="B26"/>
      <c r="C26" s="1" t="s">
        <v>9</v>
      </c>
      <c r="D26"/>
      <c r="E26" s="14">
        <v>0.96</v>
      </c>
    </row>
    <row r="27" spans="2:5" x14ac:dyDescent="0.25">
      <c r="B27"/>
      <c r="C27"/>
      <c r="D27" s="1" t="s">
        <v>18</v>
      </c>
      <c r="E27" s="14"/>
    </row>
    <row r="28" spans="2:5" x14ac:dyDescent="0.25">
      <c r="B28"/>
      <c r="C28"/>
      <c r="D28" s="1" t="s">
        <v>22</v>
      </c>
      <c r="E28" s="14"/>
    </row>
    <row r="29" spans="2:5" x14ac:dyDescent="0.25">
      <c r="B29"/>
      <c r="C29"/>
      <c r="D29" s="1" t="s">
        <v>14</v>
      </c>
      <c r="E29" s="14">
        <v>0.96</v>
      </c>
    </row>
    <row r="30" spans="2:5" x14ac:dyDescent="0.25">
      <c r="B30"/>
      <c r="C30"/>
      <c r="D30" s="1" t="s">
        <v>10</v>
      </c>
      <c r="E30" s="14"/>
    </row>
    <row r="31" spans="2:5" x14ac:dyDescent="0.25">
      <c r="B31" s="1" t="s">
        <v>47</v>
      </c>
      <c r="C31"/>
      <c r="D31"/>
      <c r="E31" s="14">
        <v>0.95000000000000007</v>
      </c>
    </row>
    <row r="32" spans="2:5" x14ac:dyDescent="0.25">
      <c r="B32"/>
      <c r="C32" s="1" t="s">
        <v>48</v>
      </c>
      <c r="D32"/>
      <c r="E32" s="14">
        <v>0.95000000000000007</v>
      </c>
    </row>
    <row r="33" spans="2:5" x14ac:dyDescent="0.25">
      <c r="B33"/>
      <c r="C33"/>
      <c r="D33" s="1" t="s">
        <v>49</v>
      </c>
      <c r="E33" s="14"/>
    </row>
    <row r="34" spans="2:5" x14ac:dyDescent="0.25">
      <c r="B34"/>
      <c r="C34"/>
      <c r="D34" s="1" t="s">
        <v>54</v>
      </c>
      <c r="E34" s="14"/>
    </row>
    <row r="35" spans="2:5" x14ac:dyDescent="0.25">
      <c r="B35"/>
      <c r="C35"/>
      <c r="D35" s="1" t="s">
        <v>51</v>
      </c>
      <c r="E35" s="14">
        <v>0.95000000000000007</v>
      </c>
    </row>
    <row r="36" spans="2:5" x14ac:dyDescent="0.25">
      <c r="B36" s="1" t="s">
        <v>57</v>
      </c>
      <c r="C36"/>
      <c r="D36"/>
      <c r="E36" s="14">
        <v>0.93</v>
      </c>
    </row>
    <row r="37" spans="2:5" x14ac:dyDescent="0.25">
      <c r="B37"/>
      <c r="C37" s="1" t="s">
        <v>58</v>
      </c>
      <c r="D37"/>
      <c r="E37" s="14">
        <v>0.93</v>
      </c>
    </row>
    <row r="38" spans="2:5" x14ac:dyDescent="0.25">
      <c r="B38"/>
      <c r="C38"/>
      <c r="D38" s="1" t="s">
        <v>61</v>
      </c>
      <c r="E38" s="14">
        <v>0.93</v>
      </c>
    </row>
    <row r="39" spans="2:5" x14ac:dyDescent="0.25">
      <c r="B39"/>
      <c r="C39"/>
      <c r="D39" s="1" t="s">
        <v>64</v>
      </c>
      <c r="E39" s="14"/>
    </row>
    <row r="40" spans="2:5" x14ac:dyDescent="0.25">
      <c r="B40"/>
      <c r="C40"/>
      <c r="D40" s="1" t="s">
        <v>59</v>
      </c>
      <c r="E40" s="14"/>
    </row>
    <row r="41" spans="2:5" x14ac:dyDescent="0.25">
      <c r="B41" s="1" t="s">
        <v>77</v>
      </c>
      <c r="C41"/>
      <c r="D41"/>
      <c r="E41" s="14">
        <v>0.95166666666666666</v>
      </c>
    </row>
    <row r="42" spans="2:5" x14ac:dyDescent="0.25">
      <c r="B42"/>
      <c r="C42"/>
      <c r="D42"/>
      <c r="E42"/>
    </row>
    <row r="43" spans="2:5" x14ac:dyDescent="0.25">
      <c r="B43"/>
      <c r="C43"/>
      <c r="D43"/>
      <c r="E43"/>
    </row>
    <row r="44" spans="2:5" x14ac:dyDescent="0.25">
      <c r="B44"/>
      <c r="C44"/>
      <c r="D44"/>
      <c r="E44"/>
    </row>
    <row r="45" spans="2:5" x14ac:dyDescent="0.25">
      <c r="B45"/>
      <c r="C45"/>
      <c r="D45"/>
      <c r="E45"/>
    </row>
    <row r="46" spans="2:5" x14ac:dyDescent="0.25">
      <c r="B46"/>
      <c r="C46"/>
      <c r="D46"/>
      <c r="E46"/>
    </row>
    <row r="47" spans="2:5" x14ac:dyDescent="0.25">
      <c r="B47"/>
      <c r="C47"/>
      <c r="D47"/>
      <c r="E47"/>
    </row>
    <row r="48" spans="2:5" x14ac:dyDescent="0.25">
      <c r="B48"/>
      <c r="C48"/>
      <c r="D48"/>
      <c r="E48"/>
    </row>
    <row r="49" spans="2:5" x14ac:dyDescent="0.25">
      <c r="B49"/>
      <c r="C49"/>
      <c r="D49"/>
      <c r="E49"/>
    </row>
    <row r="50" spans="2:5" x14ac:dyDescent="0.25">
      <c r="B50"/>
      <c r="C50"/>
      <c r="D50"/>
      <c r="E50"/>
    </row>
    <row r="51" spans="2:5" x14ac:dyDescent="0.25">
      <c r="B51"/>
      <c r="C51"/>
      <c r="D51"/>
      <c r="E51"/>
    </row>
    <row r="52" spans="2:5" x14ac:dyDescent="0.25">
      <c r="B52"/>
      <c r="C52"/>
      <c r="D52"/>
      <c r="E52"/>
    </row>
    <row r="53" spans="2:5" x14ac:dyDescent="0.25">
      <c r="B53"/>
      <c r="C53"/>
      <c r="D53"/>
      <c r="E53"/>
    </row>
    <row r="54" spans="2:5" x14ac:dyDescent="0.25">
      <c r="B54"/>
      <c r="C54"/>
      <c r="D54"/>
      <c r="E54"/>
    </row>
    <row r="55" spans="2:5" x14ac:dyDescent="0.25">
      <c r="B55"/>
      <c r="C55"/>
      <c r="D55"/>
      <c r="E55"/>
    </row>
    <row r="56" spans="2:5" x14ac:dyDescent="0.25">
      <c r="B56"/>
      <c r="C56"/>
      <c r="D56"/>
      <c r="E56"/>
    </row>
    <row r="57" spans="2:5" x14ac:dyDescent="0.25">
      <c r="B57"/>
      <c r="C57"/>
      <c r="D57"/>
      <c r="E57"/>
    </row>
    <row r="58" spans="2:5" x14ac:dyDescent="0.25">
      <c r="B58"/>
      <c r="C58"/>
      <c r="D58"/>
      <c r="E58"/>
    </row>
    <row r="59" spans="2:5" x14ac:dyDescent="0.25">
      <c r="B59"/>
      <c r="C59"/>
      <c r="D59"/>
      <c r="E59"/>
    </row>
    <row r="60" spans="2:5" x14ac:dyDescent="0.25">
      <c r="B60"/>
      <c r="C60"/>
      <c r="D60"/>
      <c r="E60"/>
    </row>
    <row r="61" spans="2:5" x14ac:dyDescent="0.25">
      <c r="B61"/>
      <c r="C61"/>
      <c r="D61"/>
      <c r="E61"/>
    </row>
    <row r="62" spans="2:5" x14ac:dyDescent="0.25">
      <c r="B62"/>
      <c r="C62"/>
      <c r="D62"/>
      <c r="E62"/>
    </row>
    <row r="63" spans="2:5" x14ac:dyDescent="0.25">
      <c r="B63"/>
      <c r="C63"/>
      <c r="D63"/>
      <c r="E63"/>
    </row>
    <row r="64" spans="2:5" x14ac:dyDescent="0.25">
      <c r="B64"/>
      <c r="C64"/>
      <c r="D64"/>
      <c r="E64"/>
    </row>
    <row r="65" spans="2:5" x14ac:dyDescent="0.25">
      <c r="B65"/>
      <c r="C65"/>
      <c r="D65"/>
      <c r="E65"/>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91412-47BA-4FBF-B41B-311CE54F8A30}">
  <sheetPr>
    <tabColor rgb="FFFFC000"/>
  </sheetPr>
  <dimension ref="B1:M71"/>
  <sheetViews>
    <sheetView zoomScale="85" zoomScaleNormal="85" workbookViewId="0">
      <selection activeCell="R4" sqref="R4"/>
    </sheetView>
  </sheetViews>
  <sheetFormatPr defaultRowHeight="15" x14ac:dyDescent="0.25"/>
  <cols>
    <col min="1" max="1" width="2.5703125" style="9" customWidth="1"/>
    <col min="2" max="2" width="21.5703125" style="9" bestFit="1" customWidth="1"/>
    <col min="3" max="3" width="25.7109375" style="9" bestFit="1" customWidth="1"/>
    <col min="4" max="4" width="17.5703125" style="9" bestFit="1" customWidth="1"/>
    <col min="5" max="5" width="8.140625" style="10" bestFit="1" customWidth="1"/>
    <col min="6" max="6" width="3" style="17" customWidth="1"/>
    <col min="7" max="11" width="9.42578125" style="9" customWidth="1"/>
    <col min="12" max="14" width="9.5703125" style="9" customWidth="1"/>
    <col min="15" max="16384" width="9.140625" style="9"/>
  </cols>
  <sheetData>
    <row r="1" spans="2:7" x14ac:dyDescent="0.25">
      <c r="F1" s="20"/>
      <c r="G1" s="20"/>
    </row>
    <row r="2" spans="2:7" x14ac:dyDescent="0.25">
      <c r="F2" s="20"/>
      <c r="G2" s="20"/>
    </row>
    <row r="3" spans="2:7" x14ac:dyDescent="0.25">
      <c r="F3" s="20"/>
      <c r="G3" s="20"/>
    </row>
    <row r="4" spans="2:7" x14ac:dyDescent="0.25">
      <c r="F4" s="20"/>
      <c r="G4" s="20"/>
    </row>
    <row r="5" spans="2:7" x14ac:dyDescent="0.25">
      <c r="F5" s="20"/>
      <c r="G5" s="20"/>
    </row>
    <row r="6" spans="2:7" x14ac:dyDescent="0.25">
      <c r="F6" s="20"/>
      <c r="G6" s="20"/>
    </row>
    <row r="7" spans="2:7" x14ac:dyDescent="0.25">
      <c r="F7" s="20"/>
      <c r="G7" s="20"/>
    </row>
    <row r="9" spans="2:7" s="10" customFormat="1" x14ac:dyDescent="0.25">
      <c r="B9" s="5" t="s">
        <v>1</v>
      </c>
      <c r="C9" s="5" t="s">
        <v>2</v>
      </c>
      <c r="D9" s="5" t="s">
        <v>3</v>
      </c>
      <c r="E9" s="6" t="s">
        <v>84</v>
      </c>
      <c r="F9" s="16"/>
    </row>
    <row r="10" spans="2:7" x14ac:dyDescent="0.25">
      <c r="B10" s="1" t="s">
        <v>36</v>
      </c>
      <c r="C10"/>
      <c r="D10"/>
      <c r="E10" s="14">
        <v>1</v>
      </c>
    </row>
    <row r="11" spans="2:7" x14ac:dyDescent="0.25">
      <c r="B11"/>
      <c r="C11" s="1" t="s">
        <v>37</v>
      </c>
      <c r="D11"/>
      <c r="E11" s="14">
        <v>1</v>
      </c>
    </row>
    <row r="12" spans="2:7" x14ac:dyDescent="0.25">
      <c r="B12"/>
      <c r="C12"/>
      <c r="D12" s="1" t="s">
        <v>38</v>
      </c>
      <c r="E12" s="14">
        <v>1</v>
      </c>
    </row>
    <row r="13" spans="2:7" x14ac:dyDescent="0.25">
      <c r="B13"/>
      <c r="C13"/>
      <c r="D13" s="1" t="s">
        <v>40</v>
      </c>
      <c r="E13" s="14">
        <v>1</v>
      </c>
    </row>
    <row r="14" spans="2:7" x14ac:dyDescent="0.25">
      <c r="B14"/>
      <c r="C14"/>
      <c r="D14" s="1" t="s">
        <v>43</v>
      </c>
      <c r="E14" s="14"/>
    </row>
    <row r="15" spans="2:7" x14ac:dyDescent="0.25">
      <c r="B15" s="1" t="s">
        <v>25</v>
      </c>
      <c r="C15"/>
      <c r="D15"/>
      <c r="E15" s="14">
        <v>1</v>
      </c>
    </row>
    <row r="16" spans="2:7" x14ac:dyDescent="0.25">
      <c r="B16"/>
      <c r="C16" s="1" t="s">
        <v>26</v>
      </c>
      <c r="D16"/>
      <c r="E16" s="14">
        <v>1</v>
      </c>
    </row>
    <row r="17" spans="2:5" x14ac:dyDescent="0.25">
      <c r="B17"/>
      <c r="C17"/>
      <c r="D17" s="1" t="s">
        <v>32</v>
      </c>
      <c r="E17" s="14"/>
    </row>
    <row r="18" spans="2:5" x14ac:dyDescent="0.25">
      <c r="B18"/>
      <c r="C18"/>
      <c r="D18" s="1" t="s">
        <v>27</v>
      </c>
      <c r="E18" s="14">
        <v>1</v>
      </c>
    </row>
    <row r="19" spans="2:5" x14ac:dyDescent="0.25">
      <c r="B19"/>
      <c r="C19"/>
      <c r="D19" s="1" t="s">
        <v>29</v>
      </c>
      <c r="E19" s="14">
        <v>1</v>
      </c>
    </row>
    <row r="20" spans="2:5" x14ac:dyDescent="0.25">
      <c r="B20" s="1" t="s">
        <v>67</v>
      </c>
      <c r="C20"/>
      <c r="D20"/>
      <c r="E20" s="14">
        <v>1</v>
      </c>
    </row>
    <row r="21" spans="2:5" x14ac:dyDescent="0.25">
      <c r="B21"/>
      <c r="C21" s="1" t="s">
        <v>68</v>
      </c>
      <c r="D21"/>
      <c r="E21" s="14">
        <v>1</v>
      </c>
    </row>
    <row r="22" spans="2:5" x14ac:dyDescent="0.25">
      <c r="B22"/>
      <c r="C22"/>
      <c r="D22" s="1" t="s">
        <v>74</v>
      </c>
      <c r="E22" s="14"/>
    </row>
    <row r="23" spans="2:5" x14ac:dyDescent="0.25">
      <c r="B23"/>
      <c r="C23"/>
      <c r="D23" s="1" t="s">
        <v>71</v>
      </c>
      <c r="E23" s="14">
        <v>1</v>
      </c>
    </row>
    <row r="24" spans="2:5" x14ac:dyDescent="0.25">
      <c r="B24"/>
      <c r="C24"/>
      <c r="D24" s="1" t="s">
        <v>69</v>
      </c>
      <c r="E24" s="14">
        <v>1</v>
      </c>
    </row>
    <row r="25" spans="2:5" x14ac:dyDescent="0.25">
      <c r="B25" s="1" t="s">
        <v>8</v>
      </c>
      <c r="C25"/>
      <c r="D25"/>
      <c r="E25" s="14">
        <v>1</v>
      </c>
    </row>
    <row r="26" spans="2:5" x14ac:dyDescent="0.25">
      <c r="B26"/>
      <c r="C26" s="1" t="s">
        <v>9</v>
      </c>
      <c r="D26"/>
      <c r="E26" s="14">
        <v>1</v>
      </c>
    </row>
    <row r="27" spans="2:5" x14ac:dyDescent="0.25">
      <c r="B27"/>
      <c r="C27"/>
      <c r="D27" s="1" t="s">
        <v>18</v>
      </c>
      <c r="E27" s="14">
        <v>1</v>
      </c>
    </row>
    <row r="28" spans="2:5" x14ac:dyDescent="0.25">
      <c r="B28"/>
      <c r="C28"/>
      <c r="D28" s="1" t="s">
        <v>22</v>
      </c>
      <c r="E28" s="14"/>
    </row>
    <row r="29" spans="2:5" x14ac:dyDescent="0.25">
      <c r="B29"/>
      <c r="C29"/>
      <c r="D29" s="1" t="s">
        <v>14</v>
      </c>
      <c r="E29" s="14"/>
    </row>
    <row r="30" spans="2:5" x14ac:dyDescent="0.25">
      <c r="B30"/>
      <c r="C30"/>
      <c r="D30" s="1" t="s">
        <v>10</v>
      </c>
      <c r="E30" s="14">
        <v>1</v>
      </c>
    </row>
    <row r="31" spans="2:5" x14ac:dyDescent="0.25">
      <c r="B31" s="1" t="s">
        <v>47</v>
      </c>
      <c r="C31"/>
      <c r="D31"/>
      <c r="E31" s="14">
        <v>1</v>
      </c>
    </row>
    <row r="32" spans="2:5" x14ac:dyDescent="0.25">
      <c r="B32"/>
      <c r="C32" s="1" t="s">
        <v>48</v>
      </c>
      <c r="D32"/>
      <c r="E32" s="14">
        <v>1</v>
      </c>
    </row>
    <row r="33" spans="2:5" x14ac:dyDescent="0.25">
      <c r="B33"/>
      <c r="C33"/>
      <c r="D33" s="1" t="s">
        <v>49</v>
      </c>
      <c r="E33" s="14">
        <v>1</v>
      </c>
    </row>
    <row r="34" spans="2:5" x14ac:dyDescent="0.25">
      <c r="B34"/>
      <c r="C34"/>
      <c r="D34" s="1" t="s">
        <v>54</v>
      </c>
      <c r="E34" s="14"/>
    </row>
    <row r="35" spans="2:5" x14ac:dyDescent="0.25">
      <c r="B35"/>
      <c r="C35"/>
      <c r="D35" s="1" t="s">
        <v>51</v>
      </c>
      <c r="E35" s="14">
        <v>1</v>
      </c>
    </row>
    <row r="36" spans="2:5" x14ac:dyDescent="0.25">
      <c r="B36" s="1" t="s">
        <v>57</v>
      </c>
      <c r="C36"/>
      <c r="D36"/>
      <c r="E36" s="14">
        <v>1</v>
      </c>
    </row>
    <row r="37" spans="2:5" x14ac:dyDescent="0.25">
      <c r="B37"/>
      <c r="C37" s="1" t="s">
        <v>58</v>
      </c>
      <c r="D37"/>
      <c r="E37" s="14">
        <v>1</v>
      </c>
    </row>
    <row r="38" spans="2:5" x14ac:dyDescent="0.25">
      <c r="B38"/>
      <c r="C38"/>
      <c r="D38" s="1" t="s">
        <v>61</v>
      </c>
      <c r="E38" s="14">
        <v>1</v>
      </c>
    </row>
    <row r="39" spans="2:5" x14ac:dyDescent="0.25">
      <c r="B39"/>
      <c r="C39"/>
      <c r="D39" s="1" t="s">
        <v>64</v>
      </c>
      <c r="E39" s="14"/>
    </row>
    <row r="40" spans="2:5" x14ac:dyDescent="0.25">
      <c r="B40"/>
      <c r="C40"/>
      <c r="D40" s="1" t="s">
        <v>59</v>
      </c>
      <c r="E40" s="14">
        <v>1</v>
      </c>
    </row>
    <row r="41" spans="2:5" x14ac:dyDescent="0.25">
      <c r="B41" s="1" t="s">
        <v>77</v>
      </c>
      <c r="C41"/>
      <c r="D41"/>
      <c r="E41" s="14">
        <v>1</v>
      </c>
    </row>
    <row r="42" spans="2:5" x14ac:dyDescent="0.25">
      <c r="B42"/>
      <c r="C42"/>
      <c r="D42"/>
      <c r="E42"/>
    </row>
    <row r="43" spans="2:5" x14ac:dyDescent="0.25">
      <c r="B43"/>
      <c r="C43"/>
      <c r="D43"/>
      <c r="E43"/>
    </row>
    <row r="44" spans="2:5" x14ac:dyDescent="0.25">
      <c r="B44"/>
      <c r="C44"/>
      <c r="D44"/>
      <c r="E44"/>
    </row>
    <row r="45" spans="2:5" x14ac:dyDescent="0.25">
      <c r="B45"/>
      <c r="C45"/>
      <c r="D45"/>
      <c r="E45"/>
    </row>
    <row r="46" spans="2:5" x14ac:dyDescent="0.25">
      <c r="B46"/>
      <c r="C46"/>
      <c r="D46"/>
      <c r="E46"/>
    </row>
    <row r="47" spans="2:5" x14ac:dyDescent="0.25">
      <c r="B47"/>
      <c r="C47"/>
      <c r="D47"/>
      <c r="E47"/>
    </row>
    <row r="48" spans="2:5" x14ac:dyDescent="0.25">
      <c r="B48"/>
      <c r="C48"/>
      <c r="D48"/>
      <c r="E48"/>
    </row>
    <row r="49" spans="2:5" x14ac:dyDescent="0.25">
      <c r="B49"/>
      <c r="C49"/>
      <c r="D49"/>
      <c r="E49"/>
    </row>
    <row r="50" spans="2:5" x14ac:dyDescent="0.25">
      <c r="B50"/>
      <c r="C50"/>
      <c r="D50"/>
      <c r="E50"/>
    </row>
    <row r="51" spans="2:5" x14ac:dyDescent="0.25">
      <c r="B51"/>
      <c r="C51"/>
      <c r="D51"/>
      <c r="E51"/>
    </row>
    <row r="52" spans="2:5" x14ac:dyDescent="0.25">
      <c r="B52"/>
      <c r="C52"/>
      <c r="D52"/>
      <c r="E52"/>
    </row>
    <row r="53" spans="2:5" x14ac:dyDescent="0.25">
      <c r="B53"/>
      <c r="C53"/>
      <c r="D53"/>
      <c r="E53"/>
    </row>
    <row r="54" spans="2:5" x14ac:dyDescent="0.25">
      <c r="B54"/>
      <c r="C54"/>
      <c r="D54"/>
      <c r="E54"/>
    </row>
    <row r="55" spans="2:5" x14ac:dyDescent="0.25">
      <c r="B55"/>
      <c r="C55"/>
      <c r="D55"/>
      <c r="E55"/>
    </row>
    <row r="56" spans="2:5" x14ac:dyDescent="0.25">
      <c r="B56"/>
      <c r="C56"/>
      <c r="D56"/>
      <c r="E56"/>
    </row>
    <row r="57" spans="2:5" x14ac:dyDescent="0.25">
      <c r="B57"/>
      <c r="C57"/>
      <c r="D57"/>
      <c r="E57"/>
    </row>
    <row r="58" spans="2:5" x14ac:dyDescent="0.25">
      <c r="B58"/>
      <c r="C58"/>
      <c r="D58"/>
      <c r="E58"/>
    </row>
    <row r="59" spans="2:5" x14ac:dyDescent="0.25">
      <c r="B59"/>
      <c r="C59"/>
      <c r="D59"/>
      <c r="E59"/>
    </row>
    <row r="60" spans="2:5" x14ac:dyDescent="0.25">
      <c r="B60"/>
      <c r="C60"/>
      <c r="D60"/>
      <c r="E60"/>
    </row>
    <row r="61" spans="2:5" x14ac:dyDescent="0.25">
      <c r="B61"/>
      <c r="C61"/>
      <c r="D61"/>
      <c r="E61"/>
    </row>
    <row r="62" spans="2:5" x14ac:dyDescent="0.25">
      <c r="B62"/>
      <c r="C62"/>
      <c r="D62"/>
      <c r="E62"/>
    </row>
    <row r="63" spans="2:5" x14ac:dyDescent="0.25">
      <c r="B63"/>
      <c r="C63"/>
      <c r="D63"/>
      <c r="E63"/>
    </row>
    <row r="64" spans="2:5" x14ac:dyDescent="0.25">
      <c r="B64"/>
      <c r="C64"/>
      <c r="D64"/>
      <c r="E64"/>
    </row>
    <row r="65" spans="2:5" x14ac:dyDescent="0.25">
      <c r="B65"/>
      <c r="C65"/>
      <c r="D65"/>
      <c r="E65"/>
    </row>
    <row r="66" spans="2:5" x14ac:dyDescent="0.25">
      <c r="B66"/>
      <c r="C66"/>
      <c r="D66"/>
      <c r="E66"/>
    </row>
    <row r="67" spans="2:5" x14ac:dyDescent="0.25">
      <c r="B67"/>
      <c r="C67"/>
      <c r="D67"/>
      <c r="E67"/>
    </row>
    <row r="68" spans="2:5" x14ac:dyDescent="0.25">
      <c r="B68"/>
      <c r="C68"/>
      <c r="D68"/>
      <c r="E68"/>
    </row>
    <row r="69" spans="2:5" x14ac:dyDescent="0.25">
      <c r="B69"/>
      <c r="C69"/>
      <c r="D69"/>
      <c r="E69"/>
    </row>
    <row r="70" spans="2:5" x14ac:dyDescent="0.25">
      <c r="B70"/>
      <c r="C70"/>
      <c r="D70"/>
      <c r="E70"/>
    </row>
    <row r="71" spans="2:5" x14ac:dyDescent="0.25">
      <c r="B71"/>
      <c r="C71"/>
      <c r="D71"/>
      <c r="E71"/>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FA4D6-BAAE-4E86-8F50-54E49EB05EA9}">
  <sheetPr>
    <tabColor rgb="FF7030A0"/>
  </sheetPr>
  <dimension ref="A1:M82"/>
  <sheetViews>
    <sheetView tabSelected="1" zoomScale="85" zoomScaleNormal="85" workbookViewId="0">
      <pane xSplit="12" ySplit="8" topLeftCell="M9" activePane="bottomRight" state="frozen"/>
      <selection pane="topRight" activeCell="M1" sqref="M1"/>
      <selection pane="bottomLeft" activeCell="A9" sqref="A9"/>
      <selection pane="bottomRight" activeCell="F17" sqref="F17"/>
    </sheetView>
  </sheetViews>
  <sheetFormatPr defaultRowHeight="15" x14ac:dyDescent="0.25"/>
  <cols>
    <col min="1" max="1" width="2.5703125" style="10" customWidth="1"/>
    <col min="2" max="2" width="21.5703125" style="26" bestFit="1" customWidth="1"/>
    <col min="3" max="3" width="25.7109375" style="26" bestFit="1" customWidth="1"/>
    <col min="4" max="4" width="18.140625" style="26" bestFit="1" customWidth="1"/>
    <col min="5" max="5" width="18" style="27" bestFit="1" customWidth="1"/>
    <col min="6" max="6" width="88.7109375" style="24" customWidth="1"/>
    <col min="7" max="11" width="9.42578125" style="21" customWidth="1"/>
    <col min="12" max="14" width="9.5703125" style="21" customWidth="1"/>
    <col min="15" max="16384" width="9.140625" style="21"/>
  </cols>
  <sheetData>
    <row r="1" spans="2:7" s="10" customFormat="1" x14ac:dyDescent="0.25">
      <c r="B1" s="26"/>
      <c r="C1" s="26"/>
      <c r="D1" s="26"/>
      <c r="E1" s="27"/>
      <c r="F1" s="24"/>
      <c r="G1" s="21"/>
    </row>
    <row r="2" spans="2:7" s="10" customFormat="1" x14ac:dyDescent="0.25">
      <c r="B2" s="26"/>
      <c r="C2" s="26"/>
      <c r="D2" s="26"/>
      <c r="E2" s="27"/>
      <c r="F2" s="24"/>
      <c r="G2" s="21"/>
    </row>
    <row r="3" spans="2:7" s="10" customFormat="1" x14ac:dyDescent="0.25">
      <c r="B3" s="26"/>
      <c r="C3" s="26"/>
      <c r="D3" s="26"/>
      <c r="E3" s="27"/>
      <c r="F3" s="24"/>
      <c r="G3" s="21"/>
    </row>
    <row r="4" spans="2:7" s="10" customFormat="1" x14ac:dyDescent="0.25">
      <c r="B4" s="26"/>
      <c r="C4" s="26"/>
      <c r="D4" s="26"/>
      <c r="E4" s="27"/>
      <c r="F4" s="24"/>
      <c r="G4" s="21"/>
    </row>
    <row r="5" spans="2:7" s="10" customFormat="1" x14ac:dyDescent="0.25">
      <c r="B5" s="26"/>
      <c r="C5" s="26"/>
      <c r="D5" s="26"/>
      <c r="E5" s="27"/>
      <c r="F5" s="24"/>
      <c r="G5" s="21"/>
    </row>
    <row r="6" spans="2:7" s="10" customFormat="1" x14ac:dyDescent="0.25">
      <c r="B6" s="26"/>
      <c r="C6" s="26"/>
      <c r="D6" s="26"/>
      <c r="E6" s="27"/>
      <c r="F6" s="24"/>
      <c r="G6" s="21"/>
    </row>
    <row r="7" spans="2:7" s="10" customFormat="1" x14ac:dyDescent="0.25">
      <c r="B7" s="26"/>
      <c r="C7" s="26"/>
      <c r="D7" s="26"/>
      <c r="E7" s="27"/>
      <c r="F7" s="24"/>
      <c r="G7" s="21"/>
    </row>
    <row r="8" spans="2:7" s="10" customFormat="1" x14ac:dyDescent="0.25">
      <c r="B8" s="26"/>
      <c r="C8" s="26"/>
      <c r="D8" s="26"/>
      <c r="E8" s="27"/>
      <c r="F8" s="24"/>
      <c r="G8" s="21"/>
    </row>
    <row r="9" spans="2:7" s="10" customFormat="1" x14ac:dyDescent="0.25">
      <c r="B9" s="25" t="s">
        <v>1</v>
      </c>
      <c r="C9" s="25" t="s">
        <v>2</v>
      </c>
      <c r="D9" s="25" t="s">
        <v>5</v>
      </c>
      <c r="E9" s="25" t="s">
        <v>3</v>
      </c>
      <c r="F9" s="22" t="s">
        <v>7</v>
      </c>
      <c r="G9" s="21"/>
    </row>
    <row r="10" spans="2:7" s="10" customFormat="1" x14ac:dyDescent="0.25">
      <c r="B10" s="15" t="s">
        <v>36</v>
      </c>
      <c r="C10" s="11" t="s">
        <v>37</v>
      </c>
      <c r="D10" s="11" t="s">
        <v>44</v>
      </c>
      <c r="E10" s="6" t="s">
        <v>43</v>
      </c>
      <c r="F10" s="23" t="s">
        <v>45</v>
      </c>
      <c r="G10" s="21"/>
    </row>
    <row r="11" spans="2:7" s="10" customFormat="1" x14ac:dyDescent="0.25">
      <c r="B11" s="15"/>
      <c r="C11" s="11"/>
      <c r="D11" s="11" t="s">
        <v>16</v>
      </c>
      <c r="E11" s="6" t="s">
        <v>40</v>
      </c>
      <c r="F11" s="23" t="s">
        <v>41</v>
      </c>
      <c r="G11" s="21"/>
    </row>
    <row r="12" spans="2:7" s="10" customFormat="1" x14ac:dyDescent="0.25">
      <c r="B12" s="15"/>
      <c r="C12" s="11"/>
      <c r="D12" s="11" t="s">
        <v>12</v>
      </c>
      <c r="E12" s="6" t="s">
        <v>38</v>
      </c>
      <c r="F12" s="23" t="s">
        <v>39</v>
      </c>
      <c r="G12" s="21"/>
    </row>
    <row r="13" spans="2:7" s="10" customFormat="1" x14ac:dyDescent="0.25">
      <c r="B13" s="15"/>
      <c r="C13" s="11"/>
      <c r="D13" s="11" t="s">
        <v>20</v>
      </c>
      <c r="E13" s="6" t="s">
        <v>38</v>
      </c>
      <c r="F13" s="23" t="s">
        <v>42</v>
      </c>
      <c r="G13" s="21"/>
    </row>
    <row r="14" spans="2:7" x14ac:dyDescent="0.25">
      <c r="B14" s="15"/>
      <c r="C14" s="11"/>
      <c r="D14" s="11"/>
      <c r="E14" s="6" t="s">
        <v>40</v>
      </c>
      <c r="F14" s="23" t="s">
        <v>46</v>
      </c>
    </row>
    <row r="15" spans="2:7" x14ac:dyDescent="0.25">
      <c r="B15" s="15" t="s">
        <v>25</v>
      </c>
      <c r="C15" s="11" t="s">
        <v>26</v>
      </c>
      <c r="D15" s="11" t="s">
        <v>16</v>
      </c>
      <c r="E15" s="6" t="s">
        <v>29</v>
      </c>
      <c r="F15" s="23" t="s">
        <v>30</v>
      </c>
    </row>
    <row r="16" spans="2:7" x14ac:dyDescent="0.25">
      <c r="B16" s="15"/>
      <c r="C16" s="11"/>
      <c r="D16" s="11" t="s">
        <v>33</v>
      </c>
      <c r="E16" s="6" t="s">
        <v>32</v>
      </c>
      <c r="F16" s="23" t="s">
        <v>34</v>
      </c>
    </row>
    <row r="17" spans="1:6" x14ac:dyDescent="0.25">
      <c r="A17" s="16"/>
      <c r="B17" s="15"/>
      <c r="C17" s="11"/>
      <c r="D17" s="11" t="s">
        <v>12</v>
      </c>
      <c r="E17" s="6" t="s">
        <v>27</v>
      </c>
      <c r="F17" s="23" t="s">
        <v>28</v>
      </c>
    </row>
    <row r="18" spans="1:6" x14ac:dyDescent="0.25">
      <c r="A18" s="16"/>
      <c r="B18" s="15"/>
      <c r="C18" s="11"/>
      <c r="D18" s="11" t="s">
        <v>20</v>
      </c>
      <c r="E18" s="6" t="s">
        <v>27</v>
      </c>
      <c r="F18" s="23" t="s">
        <v>31</v>
      </c>
    </row>
    <row r="19" spans="1:6" x14ac:dyDescent="0.25">
      <c r="A19" s="16"/>
      <c r="B19" s="15"/>
      <c r="C19" s="11"/>
      <c r="D19" s="11"/>
      <c r="E19" s="6" t="s">
        <v>29</v>
      </c>
      <c r="F19" s="23" t="s">
        <v>35</v>
      </c>
    </row>
    <row r="20" spans="1:6" x14ac:dyDescent="0.25">
      <c r="A20" s="16"/>
      <c r="B20" s="15" t="s">
        <v>67</v>
      </c>
      <c r="C20" s="11" t="s">
        <v>68</v>
      </c>
      <c r="D20" s="11" t="s">
        <v>44</v>
      </c>
      <c r="E20" s="6" t="s">
        <v>74</v>
      </c>
      <c r="F20" s="23" t="s">
        <v>75</v>
      </c>
    </row>
    <row r="21" spans="1:6" x14ac:dyDescent="0.25">
      <c r="A21" s="16"/>
      <c r="B21" s="15"/>
      <c r="C21" s="11"/>
      <c r="D21" s="11" t="s">
        <v>16</v>
      </c>
      <c r="E21" s="6" t="s">
        <v>71</v>
      </c>
      <c r="F21" s="23" t="s">
        <v>72</v>
      </c>
    </row>
    <row r="22" spans="1:6" x14ac:dyDescent="0.25">
      <c r="A22" s="16"/>
      <c r="B22" s="15"/>
      <c r="C22" s="11"/>
      <c r="D22" s="11" t="s">
        <v>12</v>
      </c>
      <c r="E22" s="6" t="s">
        <v>69</v>
      </c>
      <c r="F22" s="23" t="s">
        <v>70</v>
      </c>
    </row>
    <row r="23" spans="1:6" x14ac:dyDescent="0.25">
      <c r="A23" s="16"/>
      <c r="B23" s="15"/>
      <c r="C23" s="11"/>
      <c r="D23" s="11" t="s">
        <v>20</v>
      </c>
      <c r="E23" s="6" t="s">
        <v>71</v>
      </c>
      <c r="F23" s="23" t="s">
        <v>76</v>
      </c>
    </row>
    <row r="24" spans="1:6" x14ac:dyDescent="0.25">
      <c r="A24" s="16"/>
      <c r="B24" s="15"/>
      <c r="C24" s="11"/>
      <c r="D24" s="11"/>
      <c r="E24" s="6" t="s">
        <v>69</v>
      </c>
      <c r="F24" s="23" t="s">
        <v>73</v>
      </c>
    </row>
    <row r="25" spans="1:6" x14ac:dyDescent="0.25">
      <c r="A25" s="16"/>
      <c r="B25" s="15" t="s">
        <v>8</v>
      </c>
      <c r="C25" s="11" t="s">
        <v>9</v>
      </c>
      <c r="D25" s="11" t="s">
        <v>16</v>
      </c>
      <c r="E25" s="6" t="s">
        <v>14</v>
      </c>
      <c r="F25" s="23" t="s">
        <v>17</v>
      </c>
    </row>
    <row r="26" spans="1:6" x14ac:dyDescent="0.25">
      <c r="A26" s="16"/>
      <c r="B26" s="15"/>
      <c r="C26" s="11"/>
      <c r="D26" s="11" t="s">
        <v>12</v>
      </c>
      <c r="E26" s="6" t="s">
        <v>22</v>
      </c>
      <c r="F26" s="23" t="s">
        <v>23</v>
      </c>
    </row>
    <row r="27" spans="1:6" x14ac:dyDescent="0.25">
      <c r="A27" s="16"/>
      <c r="B27" s="15"/>
      <c r="C27" s="11"/>
      <c r="D27" s="11"/>
      <c r="E27" s="6" t="s">
        <v>10</v>
      </c>
      <c r="F27" s="23" t="s">
        <v>13</v>
      </c>
    </row>
    <row r="28" spans="1:6" x14ac:dyDescent="0.25">
      <c r="A28" s="16"/>
      <c r="B28" s="15"/>
      <c r="C28" s="11"/>
      <c r="D28" s="11" t="s">
        <v>20</v>
      </c>
      <c r="E28" s="6" t="s">
        <v>18</v>
      </c>
      <c r="F28" s="23" t="s">
        <v>21</v>
      </c>
    </row>
    <row r="29" spans="1:6" x14ac:dyDescent="0.25">
      <c r="A29" s="16"/>
      <c r="B29" s="15"/>
      <c r="C29" s="11"/>
      <c r="D29" s="11"/>
      <c r="E29" s="6" t="s">
        <v>10</v>
      </c>
      <c r="F29" s="23" t="s">
        <v>24</v>
      </c>
    </row>
    <row r="30" spans="1:6" x14ac:dyDescent="0.25">
      <c r="A30" s="16"/>
      <c r="B30" s="15" t="s">
        <v>47</v>
      </c>
      <c r="C30" s="11" t="s">
        <v>48</v>
      </c>
      <c r="D30" s="11" t="s">
        <v>16</v>
      </c>
      <c r="E30" s="6" t="s">
        <v>51</v>
      </c>
      <c r="F30" s="23" t="s">
        <v>52</v>
      </c>
    </row>
    <row r="31" spans="1:6" x14ac:dyDescent="0.25">
      <c r="A31" s="16"/>
      <c r="B31" s="15"/>
      <c r="C31" s="11"/>
      <c r="D31" s="11" t="s">
        <v>33</v>
      </c>
      <c r="E31" s="6" t="s">
        <v>54</v>
      </c>
      <c r="F31" s="23" t="s">
        <v>55</v>
      </c>
    </row>
    <row r="32" spans="1:6" x14ac:dyDescent="0.25">
      <c r="A32" s="16"/>
      <c r="B32" s="15"/>
      <c r="C32" s="11"/>
      <c r="D32" s="11" t="s">
        <v>12</v>
      </c>
      <c r="E32" s="6" t="s">
        <v>49</v>
      </c>
      <c r="F32" s="23" t="s">
        <v>50</v>
      </c>
    </row>
    <row r="33" spans="1:6" x14ac:dyDescent="0.25">
      <c r="A33" s="16"/>
      <c r="B33" s="15"/>
      <c r="C33" s="11"/>
      <c r="D33" s="11" t="s">
        <v>20</v>
      </c>
      <c r="E33" s="6" t="s">
        <v>49</v>
      </c>
      <c r="F33" s="23" t="s">
        <v>53</v>
      </c>
    </row>
    <row r="34" spans="1:6" x14ac:dyDescent="0.25">
      <c r="A34" s="16"/>
      <c r="B34" s="15"/>
      <c r="C34" s="11"/>
      <c r="D34" s="11"/>
      <c r="E34" s="6" t="s">
        <v>51</v>
      </c>
      <c r="F34" s="23" t="s">
        <v>56</v>
      </c>
    </row>
    <row r="35" spans="1:6" x14ac:dyDescent="0.25">
      <c r="A35" s="16"/>
      <c r="B35" s="15" t="s">
        <v>57</v>
      </c>
      <c r="C35" s="11" t="s">
        <v>58</v>
      </c>
      <c r="D35" s="11" t="s">
        <v>16</v>
      </c>
      <c r="E35" s="6" t="s">
        <v>61</v>
      </c>
      <c r="F35" s="23" t="s">
        <v>62</v>
      </c>
    </row>
    <row r="36" spans="1:6" x14ac:dyDescent="0.25">
      <c r="A36" s="16"/>
      <c r="B36" s="15"/>
      <c r="C36" s="11"/>
      <c r="D36" s="11" t="s">
        <v>12</v>
      </c>
      <c r="E36" s="6" t="s">
        <v>64</v>
      </c>
      <c r="F36" s="23" t="s">
        <v>65</v>
      </c>
    </row>
    <row r="37" spans="1:6" x14ac:dyDescent="0.25">
      <c r="A37" s="16"/>
      <c r="B37" s="15"/>
      <c r="C37" s="11"/>
      <c r="D37" s="11"/>
      <c r="E37" s="6" t="s">
        <v>59</v>
      </c>
      <c r="F37" s="23" t="s">
        <v>60</v>
      </c>
    </row>
    <row r="38" spans="1:6" x14ac:dyDescent="0.25">
      <c r="A38" s="16"/>
      <c r="B38" s="15"/>
      <c r="C38" s="11"/>
      <c r="D38" s="11" t="s">
        <v>20</v>
      </c>
      <c r="E38" s="6" t="s">
        <v>61</v>
      </c>
      <c r="F38" s="23" t="s">
        <v>66</v>
      </c>
    </row>
    <row r="39" spans="1:6" x14ac:dyDescent="0.25">
      <c r="A39" s="16"/>
      <c r="B39" s="15"/>
      <c r="C39" s="11"/>
      <c r="D39" s="11"/>
      <c r="E39" s="6" t="s">
        <v>59</v>
      </c>
      <c r="F39" s="23" t="s">
        <v>63</v>
      </c>
    </row>
    <row r="40" spans="1:6" x14ac:dyDescent="0.25">
      <c r="A40" s="16"/>
      <c r="B40" s="23" t="s">
        <v>77</v>
      </c>
      <c r="C40" s="23"/>
      <c r="D40" s="23"/>
      <c r="E40" s="23"/>
      <c r="F40" s="23"/>
    </row>
    <row r="41" spans="1:6" x14ac:dyDescent="0.25">
      <c r="A41" s="16"/>
      <c r="B41" s="11"/>
      <c r="C41" s="11"/>
      <c r="D41" s="11"/>
      <c r="E41" s="23"/>
    </row>
    <row r="42" spans="1:6" x14ac:dyDescent="0.25">
      <c r="A42" s="16"/>
      <c r="B42" s="11"/>
      <c r="C42" s="11"/>
      <c r="D42" s="11"/>
      <c r="E42" s="23"/>
    </row>
    <row r="43" spans="1:6" x14ac:dyDescent="0.25">
      <c r="A43" s="16"/>
      <c r="B43" s="11"/>
      <c r="C43" s="11"/>
      <c r="D43" s="11"/>
      <c r="E43" s="23"/>
    </row>
    <row r="44" spans="1:6" x14ac:dyDescent="0.25">
      <c r="A44" s="16"/>
      <c r="B44" s="11"/>
      <c r="C44" s="11"/>
      <c r="D44" s="11"/>
      <c r="E44" s="23"/>
    </row>
    <row r="45" spans="1:6" x14ac:dyDescent="0.25">
      <c r="A45" s="16"/>
      <c r="B45" s="11"/>
      <c r="C45" s="11"/>
      <c r="D45" s="11"/>
      <c r="E45" s="23"/>
    </row>
    <row r="46" spans="1:6" x14ac:dyDescent="0.25">
      <c r="A46" s="16"/>
      <c r="B46" s="11"/>
      <c r="C46" s="11"/>
      <c r="D46" s="11"/>
      <c r="E46" s="23"/>
    </row>
    <row r="47" spans="1:6" x14ac:dyDescent="0.25">
      <c r="A47" s="16"/>
      <c r="B47" s="11"/>
      <c r="C47" s="11"/>
      <c r="D47" s="11"/>
      <c r="E47" s="23"/>
    </row>
    <row r="48" spans="1:6" x14ac:dyDescent="0.25">
      <c r="A48" s="16"/>
      <c r="B48" s="11"/>
      <c r="C48" s="11"/>
      <c r="D48" s="11"/>
      <c r="E48" s="23"/>
    </row>
    <row r="49" spans="1:5" x14ac:dyDescent="0.25">
      <c r="A49" s="16"/>
      <c r="B49" s="11"/>
      <c r="C49" s="11"/>
      <c r="D49" s="11"/>
      <c r="E49" s="23"/>
    </row>
    <row r="50" spans="1:5" x14ac:dyDescent="0.25">
      <c r="A50" s="16"/>
      <c r="B50" s="11"/>
      <c r="C50" s="11"/>
      <c r="D50" s="11"/>
      <c r="E50" s="23"/>
    </row>
    <row r="51" spans="1:5" x14ac:dyDescent="0.25">
      <c r="A51" s="16"/>
      <c r="B51" s="11"/>
      <c r="C51" s="11"/>
      <c r="D51" s="11"/>
      <c r="E51" s="23"/>
    </row>
    <row r="52" spans="1:5" x14ac:dyDescent="0.25">
      <c r="A52" s="16"/>
      <c r="B52" s="11"/>
      <c r="C52" s="11"/>
      <c r="D52" s="11"/>
      <c r="E52" s="23"/>
    </row>
    <row r="53" spans="1:5" x14ac:dyDescent="0.25">
      <c r="A53" s="16"/>
      <c r="B53" s="11"/>
      <c r="C53" s="11"/>
      <c r="D53" s="11"/>
      <c r="E53" s="23"/>
    </row>
    <row r="54" spans="1:5" x14ac:dyDescent="0.25">
      <c r="A54" s="16"/>
      <c r="B54" s="11"/>
      <c r="C54" s="11"/>
      <c r="D54" s="11"/>
      <c r="E54" s="23"/>
    </row>
    <row r="55" spans="1:5" x14ac:dyDescent="0.25">
      <c r="A55" s="16"/>
      <c r="B55" s="11"/>
      <c r="C55" s="11"/>
      <c r="D55" s="11"/>
      <c r="E55" s="23"/>
    </row>
    <row r="56" spans="1:5" x14ac:dyDescent="0.25">
      <c r="A56" s="16"/>
      <c r="B56" s="11"/>
      <c r="C56" s="11"/>
      <c r="D56" s="11"/>
      <c r="E56" s="23"/>
    </row>
    <row r="57" spans="1:5" x14ac:dyDescent="0.25">
      <c r="A57" s="16"/>
      <c r="B57" s="11"/>
      <c r="C57" s="11"/>
      <c r="D57" s="11"/>
      <c r="E57" s="23"/>
    </row>
    <row r="58" spans="1:5" x14ac:dyDescent="0.25">
      <c r="A58" s="16"/>
      <c r="B58" s="11"/>
      <c r="C58" s="11"/>
      <c r="D58" s="11"/>
      <c r="E58" s="23"/>
    </row>
    <row r="59" spans="1:5" x14ac:dyDescent="0.25">
      <c r="A59" s="16"/>
      <c r="B59" s="11"/>
      <c r="C59" s="11"/>
      <c r="D59" s="11"/>
      <c r="E59" s="23"/>
    </row>
    <row r="60" spans="1:5" x14ac:dyDescent="0.25">
      <c r="A60" s="16"/>
      <c r="B60" s="11"/>
      <c r="C60" s="11"/>
      <c r="D60" s="11"/>
      <c r="E60" s="23"/>
    </row>
    <row r="61" spans="1:5" x14ac:dyDescent="0.25">
      <c r="A61" s="16"/>
      <c r="B61" s="11"/>
      <c r="C61" s="11"/>
      <c r="D61" s="11"/>
      <c r="E61" s="23"/>
    </row>
    <row r="62" spans="1:5" x14ac:dyDescent="0.25">
      <c r="A62" s="16"/>
      <c r="B62" s="11"/>
      <c r="C62" s="11"/>
      <c r="D62" s="11"/>
      <c r="E62" s="23"/>
    </row>
    <row r="63" spans="1:5" x14ac:dyDescent="0.25">
      <c r="A63" s="16"/>
      <c r="B63" s="11"/>
      <c r="C63" s="11"/>
      <c r="D63" s="11"/>
      <c r="E63" s="23"/>
    </row>
    <row r="64" spans="1:5" x14ac:dyDescent="0.25">
      <c r="A64" s="16"/>
      <c r="B64" s="11"/>
      <c r="C64" s="11"/>
      <c r="D64" s="11"/>
      <c r="E64" s="23"/>
    </row>
    <row r="65" spans="1:5" x14ac:dyDescent="0.25">
      <c r="A65" s="16"/>
      <c r="B65" s="11"/>
      <c r="C65" s="11"/>
      <c r="D65" s="11"/>
      <c r="E65" s="23"/>
    </row>
    <row r="66" spans="1:5" x14ac:dyDescent="0.25">
      <c r="A66" s="16"/>
      <c r="B66" s="11"/>
      <c r="C66" s="11"/>
      <c r="D66" s="11"/>
      <c r="E66" s="23"/>
    </row>
    <row r="67" spans="1:5" x14ac:dyDescent="0.25">
      <c r="A67" s="16"/>
      <c r="B67" s="11"/>
      <c r="C67" s="11"/>
      <c r="D67" s="11"/>
      <c r="E67" s="23"/>
    </row>
    <row r="68" spans="1:5" x14ac:dyDescent="0.25">
      <c r="A68" s="16"/>
      <c r="B68" s="11"/>
      <c r="C68" s="11"/>
      <c r="D68" s="11"/>
      <c r="E68" s="23"/>
    </row>
    <row r="69" spans="1:5" x14ac:dyDescent="0.25">
      <c r="A69" s="16"/>
      <c r="B69" s="11"/>
      <c r="C69" s="11"/>
      <c r="D69" s="11"/>
      <c r="E69" s="23"/>
    </row>
    <row r="70" spans="1:5" x14ac:dyDescent="0.25">
      <c r="A70" s="16"/>
      <c r="B70" s="11"/>
      <c r="C70" s="11"/>
      <c r="D70" s="11"/>
      <c r="E70" s="23"/>
    </row>
    <row r="71" spans="1:5" x14ac:dyDescent="0.25">
      <c r="A71" s="16"/>
      <c r="B71" s="11"/>
      <c r="C71" s="11"/>
      <c r="D71" s="11"/>
      <c r="E71" s="23"/>
    </row>
    <row r="72" spans="1:5" x14ac:dyDescent="0.25">
      <c r="B72" s="11"/>
      <c r="C72" s="11"/>
      <c r="D72" s="11"/>
      <c r="E72" s="23"/>
    </row>
    <row r="73" spans="1:5" x14ac:dyDescent="0.25">
      <c r="B73" s="11"/>
      <c r="C73" s="11"/>
      <c r="D73" s="11"/>
      <c r="E73" s="23"/>
    </row>
    <row r="74" spans="1:5" x14ac:dyDescent="0.25">
      <c r="B74" s="11"/>
      <c r="C74" s="11"/>
      <c r="D74" s="11"/>
      <c r="E74" s="23"/>
    </row>
    <row r="75" spans="1:5" x14ac:dyDescent="0.25">
      <c r="B75" s="11"/>
      <c r="C75" s="11"/>
      <c r="D75" s="11"/>
      <c r="E75" s="23"/>
    </row>
    <row r="76" spans="1:5" x14ac:dyDescent="0.25">
      <c r="B76" s="11"/>
      <c r="C76" s="11"/>
      <c r="D76" s="11"/>
      <c r="E76" s="23"/>
    </row>
    <row r="77" spans="1:5" x14ac:dyDescent="0.25">
      <c r="B77" s="11"/>
      <c r="C77" s="11"/>
      <c r="D77" s="11"/>
      <c r="E77" s="23"/>
    </row>
    <row r="78" spans="1:5" x14ac:dyDescent="0.25">
      <c r="B78" s="11"/>
      <c r="C78" s="11"/>
      <c r="D78" s="11"/>
      <c r="E78" s="23"/>
    </row>
    <row r="79" spans="1:5" x14ac:dyDescent="0.25">
      <c r="B79" s="11"/>
      <c r="C79" s="11"/>
      <c r="D79" s="11"/>
      <c r="E79" s="23"/>
    </row>
    <row r="80" spans="1:5" x14ac:dyDescent="0.25">
      <c r="B80" s="11"/>
      <c r="C80" s="11"/>
      <c r="D80" s="11"/>
      <c r="E80" s="23"/>
    </row>
    <row r="81" spans="2:5" x14ac:dyDescent="0.25">
      <c r="B81" s="11"/>
      <c r="C81" s="11"/>
      <c r="D81" s="11"/>
      <c r="E81" s="23"/>
    </row>
    <row r="82" spans="2:5" x14ac:dyDescent="0.25">
      <c r="B82" s="11"/>
      <c r="C82" s="11"/>
      <c r="D82" s="11"/>
      <c r="E82" s="23"/>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589CE-96AA-4CD0-9644-F18377B1CF1B}">
  <dimension ref="A1:N31"/>
  <sheetViews>
    <sheetView workbookViewId="0">
      <selection sqref="A1:N31"/>
    </sheetView>
  </sheetViews>
  <sheetFormatPr defaultRowHeight="15" x14ac:dyDescent="0.25"/>
  <cols>
    <col min="1" max="1" width="9.7109375" style="19" bestFit="1" customWidth="1"/>
    <col min="2" max="2" width="19.7109375" bestFit="1" customWidth="1"/>
    <col min="3" max="3" width="21.140625" bestFit="1" customWidth="1"/>
    <col min="4" max="4" width="15.42578125" bestFit="1" customWidth="1"/>
    <col min="5" max="5" width="6.85546875" bestFit="1" customWidth="1"/>
    <col min="6" max="6" width="15" bestFit="1" customWidth="1"/>
    <col min="7" max="7" width="5.85546875" bestFit="1" customWidth="1"/>
    <col min="8" max="8" width="14" style="6" bestFit="1" customWidth="1"/>
    <col min="9" max="9" width="12.140625" style="6" bestFit="1" customWidth="1"/>
    <col min="10" max="10" width="13.85546875" style="6" bestFit="1" customWidth="1"/>
    <col min="11" max="11" width="9.140625" style="6" bestFit="1" customWidth="1"/>
    <col min="12" max="12" width="6.85546875" style="6" customWidth="1"/>
    <col min="13" max="13" width="7.5703125" style="6" bestFit="1" customWidth="1"/>
    <col min="14" max="14" width="73.140625" bestFit="1" customWidth="1"/>
  </cols>
  <sheetData>
    <row r="1" spans="1:14" x14ac:dyDescent="0.25">
      <c r="A1" s="18" t="s">
        <v>0</v>
      </c>
      <c r="B1" s="2" t="s">
        <v>1</v>
      </c>
      <c r="C1" s="2" t="s">
        <v>2</v>
      </c>
      <c r="D1" s="2" t="s">
        <v>3</v>
      </c>
      <c r="E1" s="2" t="s">
        <v>4</v>
      </c>
      <c r="F1" s="2" t="s">
        <v>5</v>
      </c>
      <c r="G1" s="2" t="s">
        <v>6</v>
      </c>
      <c r="H1" s="12" t="s">
        <v>12</v>
      </c>
      <c r="I1" s="12" t="s">
        <v>33</v>
      </c>
      <c r="J1" s="12" t="s">
        <v>44</v>
      </c>
      <c r="K1" s="12" t="s">
        <v>11</v>
      </c>
      <c r="L1" s="12" t="s">
        <v>15</v>
      </c>
      <c r="M1" s="12" t="s">
        <v>19</v>
      </c>
      <c r="N1" s="2" t="s">
        <v>7</v>
      </c>
    </row>
    <row r="2" spans="1:14" x14ac:dyDescent="0.25">
      <c r="A2" s="19">
        <v>46027</v>
      </c>
      <c r="B2" s="1" t="s">
        <v>8</v>
      </c>
      <c r="C2" s="1" t="s">
        <v>9</v>
      </c>
      <c r="D2" s="1" t="s">
        <v>10</v>
      </c>
      <c r="E2" s="1" t="s">
        <v>11</v>
      </c>
      <c r="F2" s="1" t="s">
        <v>12</v>
      </c>
      <c r="G2" s="1">
        <v>10</v>
      </c>
      <c r="H2" s="6">
        <f>IF($F2="Promoter",1,"0")</f>
        <v>1</v>
      </c>
      <c r="I2" s="6" t="str">
        <f>IF($F2="Passive",1,"0")</f>
        <v>0</v>
      </c>
      <c r="J2" s="6" t="str">
        <f>IF($F2="Detractor",1,"0")</f>
        <v>0</v>
      </c>
      <c r="K2" s="13">
        <f>H2-J2</f>
        <v>1</v>
      </c>
      <c r="L2" s="6" t="str">
        <f>IF(E2="RFT",(G2*0.01),"")</f>
        <v/>
      </c>
      <c r="M2" s="13" t="str">
        <f>IF(F2="Satisfied",1,"")</f>
        <v/>
      </c>
      <c r="N2" s="1" t="s">
        <v>13</v>
      </c>
    </row>
    <row r="3" spans="1:14" x14ac:dyDescent="0.25">
      <c r="A3" s="19">
        <v>46030</v>
      </c>
      <c r="B3" s="1" t="s">
        <v>8</v>
      </c>
      <c r="C3" s="1" t="s">
        <v>9</v>
      </c>
      <c r="D3" s="1" t="s">
        <v>14</v>
      </c>
      <c r="E3" s="1" t="s">
        <v>15</v>
      </c>
      <c r="F3" s="1" t="s">
        <v>16</v>
      </c>
      <c r="G3" s="1">
        <v>96</v>
      </c>
      <c r="H3" s="6" t="str">
        <f t="shared" ref="H3:H31" si="0">IF($F3="Promoter",1,"0")</f>
        <v>0</v>
      </c>
      <c r="I3" s="6" t="str">
        <f t="shared" ref="I3:I31" si="1">IF($F3="Passive",1,"0")</f>
        <v>0</v>
      </c>
      <c r="J3" s="6" t="str">
        <f t="shared" ref="J3:J31" si="2">IF($F3="Detractor",1,"0")</f>
        <v>0</v>
      </c>
      <c r="K3" s="13" t="str">
        <f t="shared" ref="K3:K31" si="3">IFERROR(H3-J3/SUM(H3:J3),"")</f>
        <v/>
      </c>
      <c r="L3" s="6">
        <f t="shared" ref="L3:L31" si="4">IF(E3="RFT",(G3*0.01),"")</f>
        <v>0.96</v>
      </c>
      <c r="M3" s="13" t="str">
        <f t="shared" ref="M3:M31" si="5">IF(F3="Satisfied",1,"")</f>
        <v/>
      </c>
      <c r="N3" s="1" t="s">
        <v>17</v>
      </c>
    </row>
    <row r="4" spans="1:14" x14ac:dyDescent="0.25">
      <c r="A4" s="19">
        <v>46034</v>
      </c>
      <c r="B4" s="1" t="s">
        <v>8</v>
      </c>
      <c r="C4" s="1" t="s">
        <v>9</v>
      </c>
      <c r="D4" s="1" t="s">
        <v>18</v>
      </c>
      <c r="E4" s="1" t="s">
        <v>19</v>
      </c>
      <c r="F4" s="1" t="s">
        <v>20</v>
      </c>
      <c r="G4" s="1">
        <v>5</v>
      </c>
      <c r="H4" s="6" t="str">
        <f t="shared" si="0"/>
        <v>0</v>
      </c>
      <c r="I4" s="6" t="str">
        <f t="shared" si="1"/>
        <v>0</v>
      </c>
      <c r="J4" s="6" t="str">
        <f t="shared" si="2"/>
        <v>0</v>
      </c>
      <c r="K4" s="13" t="str">
        <f t="shared" si="3"/>
        <v/>
      </c>
      <c r="L4" s="6" t="str">
        <f t="shared" si="4"/>
        <v/>
      </c>
      <c r="M4" s="13">
        <f t="shared" si="5"/>
        <v>1</v>
      </c>
      <c r="N4" s="1" t="s">
        <v>21</v>
      </c>
    </row>
    <row r="5" spans="1:14" x14ac:dyDescent="0.25">
      <c r="A5" s="19">
        <v>46038</v>
      </c>
      <c r="B5" s="1" t="s">
        <v>8</v>
      </c>
      <c r="C5" s="1" t="s">
        <v>9</v>
      </c>
      <c r="D5" s="1" t="s">
        <v>22</v>
      </c>
      <c r="E5" s="1" t="s">
        <v>11</v>
      </c>
      <c r="F5" s="1" t="s">
        <v>12</v>
      </c>
      <c r="G5" s="1">
        <v>9</v>
      </c>
      <c r="H5" s="6">
        <f t="shared" si="0"/>
        <v>1</v>
      </c>
      <c r="I5" s="6" t="str">
        <f t="shared" si="1"/>
        <v>0</v>
      </c>
      <c r="J5" s="6" t="str">
        <f t="shared" si="2"/>
        <v>0</v>
      </c>
      <c r="K5" s="13">
        <f t="shared" si="3"/>
        <v>1</v>
      </c>
      <c r="L5" s="6" t="str">
        <f t="shared" si="4"/>
        <v/>
      </c>
      <c r="M5" s="13" t="str">
        <f t="shared" si="5"/>
        <v/>
      </c>
      <c r="N5" s="1" t="s">
        <v>23</v>
      </c>
    </row>
    <row r="6" spans="1:14" x14ac:dyDescent="0.25">
      <c r="A6" s="19">
        <v>46043</v>
      </c>
      <c r="B6" s="1" t="s">
        <v>8</v>
      </c>
      <c r="C6" s="1" t="s">
        <v>9</v>
      </c>
      <c r="D6" s="1" t="s">
        <v>10</v>
      </c>
      <c r="E6" s="1" t="s">
        <v>19</v>
      </c>
      <c r="F6" s="1" t="s">
        <v>20</v>
      </c>
      <c r="G6" s="1">
        <v>5</v>
      </c>
      <c r="H6" s="6" t="str">
        <f t="shared" si="0"/>
        <v>0</v>
      </c>
      <c r="I6" s="6" t="str">
        <f t="shared" si="1"/>
        <v>0</v>
      </c>
      <c r="J6" s="6" t="str">
        <f t="shared" si="2"/>
        <v>0</v>
      </c>
      <c r="K6" s="13" t="str">
        <f t="shared" si="3"/>
        <v/>
      </c>
      <c r="L6" s="6" t="str">
        <f t="shared" si="4"/>
        <v/>
      </c>
      <c r="M6" s="13">
        <f t="shared" si="5"/>
        <v>1</v>
      </c>
      <c r="N6" s="1" t="s">
        <v>24</v>
      </c>
    </row>
    <row r="7" spans="1:14" x14ac:dyDescent="0.25">
      <c r="A7" s="19">
        <v>46056</v>
      </c>
      <c r="B7" s="1" t="s">
        <v>25</v>
      </c>
      <c r="C7" s="1" t="s">
        <v>26</v>
      </c>
      <c r="D7" s="1" t="s">
        <v>27</v>
      </c>
      <c r="E7" s="1" t="s">
        <v>11</v>
      </c>
      <c r="F7" s="1" t="s">
        <v>12</v>
      </c>
      <c r="G7" s="1">
        <v>10</v>
      </c>
      <c r="H7" s="6">
        <f t="shared" si="0"/>
        <v>1</v>
      </c>
      <c r="I7" s="6" t="str">
        <f t="shared" si="1"/>
        <v>0</v>
      </c>
      <c r="J7" s="6" t="str">
        <f t="shared" si="2"/>
        <v>0</v>
      </c>
      <c r="K7" s="13">
        <f t="shared" si="3"/>
        <v>1</v>
      </c>
      <c r="L7" s="6" t="str">
        <f t="shared" si="4"/>
        <v/>
      </c>
      <c r="M7" s="13" t="str">
        <f t="shared" si="5"/>
        <v/>
      </c>
      <c r="N7" s="1" t="s">
        <v>28</v>
      </c>
    </row>
    <row r="8" spans="1:14" x14ac:dyDescent="0.25">
      <c r="A8" s="19">
        <v>46059</v>
      </c>
      <c r="B8" s="1" t="s">
        <v>25</v>
      </c>
      <c r="C8" s="1" t="s">
        <v>26</v>
      </c>
      <c r="D8" s="1" t="s">
        <v>29</v>
      </c>
      <c r="E8" s="1" t="s">
        <v>15</v>
      </c>
      <c r="F8" s="1" t="s">
        <v>16</v>
      </c>
      <c r="G8" s="1">
        <v>94</v>
      </c>
      <c r="H8" s="6" t="str">
        <f t="shared" si="0"/>
        <v>0</v>
      </c>
      <c r="I8" s="6" t="str">
        <f t="shared" si="1"/>
        <v>0</v>
      </c>
      <c r="J8" s="6" t="str">
        <f t="shared" si="2"/>
        <v>0</v>
      </c>
      <c r="K8" s="13" t="str">
        <f t="shared" si="3"/>
        <v/>
      </c>
      <c r="L8" s="6">
        <f t="shared" si="4"/>
        <v>0.94000000000000006</v>
      </c>
      <c r="M8" s="13" t="str">
        <f t="shared" si="5"/>
        <v/>
      </c>
      <c r="N8" s="1" t="s">
        <v>30</v>
      </c>
    </row>
    <row r="9" spans="1:14" x14ac:dyDescent="0.25">
      <c r="A9" s="19">
        <v>46064</v>
      </c>
      <c r="B9" s="1" t="s">
        <v>25</v>
      </c>
      <c r="C9" s="1" t="s">
        <v>26</v>
      </c>
      <c r="D9" s="1" t="s">
        <v>27</v>
      </c>
      <c r="E9" s="1" t="s">
        <v>19</v>
      </c>
      <c r="F9" s="1" t="s">
        <v>20</v>
      </c>
      <c r="G9" s="1">
        <v>4</v>
      </c>
      <c r="H9" s="6" t="str">
        <f t="shared" si="0"/>
        <v>0</v>
      </c>
      <c r="I9" s="6" t="str">
        <f t="shared" si="1"/>
        <v>0</v>
      </c>
      <c r="J9" s="6" t="str">
        <f t="shared" si="2"/>
        <v>0</v>
      </c>
      <c r="K9" s="13" t="str">
        <f t="shared" si="3"/>
        <v/>
      </c>
      <c r="L9" s="6" t="str">
        <f t="shared" si="4"/>
        <v/>
      </c>
      <c r="M9" s="13">
        <f t="shared" si="5"/>
        <v>1</v>
      </c>
      <c r="N9" s="1" t="s">
        <v>31</v>
      </c>
    </row>
    <row r="10" spans="1:14" x14ac:dyDescent="0.25">
      <c r="A10" s="19">
        <v>46070</v>
      </c>
      <c r="B10" s="1" t="s">
        <v>25</v>
      </c>
      <c r="C10" s="1" t="s">
        <v>26</v>
      </c>
      <c r="D10" s="1" t="s">
        <v>32</v>
      </c>
      <c r="E10" s="1" t="s">
        <v>11</v>
      </c>
      <c r="F10" s="1" t="s">
        <v>33</v>
      </c>
      <c r="G10" s="1">
        <v>7</v>
      </c>
      <c r="H10" s="6" t="str">
        <f t="shared" si="0"/>
        <v>0</v>
      </c>
      <c r="I10" s="6">
        <f t="shared" si="1"/>
        <v>1</v>
      </c>
      <c r="J10" s="6" t="str">
        <f t="shared" si="2"/>
        <v>0</v>
      </c>
      <c r="K10" s="13">
        <f t="shared" si="3"/>
        <v>0</v>
      </c>
      <c r="L10" s="6" t="str">
        <f t="shared" si="4"/>
        <v/>
      </c>
      <c r="M10" s="13" t="str">
        <f t="shared" si="5"/>
        <v/>
      </c>
      <c r="N10" s="1" t="s">
        <v>34</v>
      </c>
    </row>
    <row r="11" spans="1:14" x14ac:dyDescent="0.25">
      <c r="A11" s="19">
        <v>46077</v>
      </c>
      <c r="B11" s="1" t="s">
        <v>25</v>
      </c>
      <c r="C11" s="1" t="s">
        <v>26</v>
      </c>
      <c r="D11" s="1" t="s">
        <v>29</v>
      </c>
      <c r="E11" s="1" t="s">
        <v>19</v>
      </c>
      <c r="F11" s="1" t="s">
        <v>20</v>
      </c>
      <c r="G11" s="1">
        <v>5</v>
      </c>
      <c r="H11" s="6" t="str">
        <f t="shared" si="0"/>
        <v>0</v>
      </c>
      <c r="I11" s="6" t="str">
        <f t="shared" si="1"/>
        <v>0</v>
      </c>
      <c r="J11" s="6" t="str">
        <f t="shared" si="2"/>
        <v>0</v>
      </c>
      <c r="K11" s="13" t="str">
        <f t="shared" si="3"/>
        <v/>
      </c>
      <c r="L11" s="6" t="str">
        <f t="shared" si="4"/>
        <v/>
      </c>
      <c r="M11" s="13">
        <f t="shared" si="5"/>
        <v>1</v>
      </c>
      <c r="N11" s="1" t="s">
        <v>35</v>
      </c>
    </row>
    <row r="12" spans="1:14" x14ac:dyDescent="0.25">
      <c r="A12" s="19">
        <v>46083</v>
      </c>
      <c r="B12" s="1" t="s">
        <v>36</v>
      </c>
      <c r="C12" s="1" t="s">
        <v>37</v>
      </c>
      <c r="D12" s="1" t="s">
        <v>38</v>
      </c>
      <c r="E12" s="1" t="s">
        <v>11</v>
      </c>
      <c r="F12" s="1" t="s">
        <v>12</v>
      </c>
      <c r="G12" s="1">
        <v>9</v>
      </c>
      <c r="H12" s="6">
        <f t="shared" si="0"/>
        <v>1</v>
      </c>
      <c r="I12" s="6" t="str">
        <f t="shared" si="1"/>
        <v>0</v>
      </c>
      <c r="J12" s="6" t="str">
        <f t="shared" si="2"/>
        <v>0</v>
      </c>
      <c r="K12" s="13">
        <f t="shared" si="3"/>
        <v>1</v>
      </c>
      <c r="L12" s="6" t="str">
        <f t="shared" si="4"/>
        <v/>
      </c>
      <c r="M12" s="13" t="str">
        <f t="shared" si="5"/>
        <v/>
      </c>
      <c r="N12" s="1" t="s">
        <v>39</v>
      </c>
    </row>
    <row r="13" spans="1:14" x14ac:dyDescent="0.25">
      <c r="A13" s="19">
        <v>46086</v>
      </c>
      <c r="B13" s="1" t="s">
        <v>36</v>
      </c>
      <c r="C13" s="1" t="s">
        <v>37</v>
      </c>
      <c r="D13" s="1" t="s">
        <v>40</v>
      </c>
      <c r="E13" s="1" t="s">
        <v>15</v>
      </c>
      <c r="F13" s="1" t="s">
        <v>16</v>
      </c>
      <c r="G13" s="1">
        <v>97</v>
      </c>
      <c r="H13" s="6" t="str">
        <f t="shared" si="0"/>
        <v>0</v>
      </c>
      <c r="I13" s="6" t="str">
        <f t="shared" si="1"/>
        <v>0</v>
      </c>
      <c r="J13" s="6" t="str">
        <f t="shared" si="2"/>
        <v>0</v>
      </c>
      <c r="K13" s="13" t="str">
        <f t="shared" si="3"/>
        <v/>
      </c>
      <c r="L13" s="6">
        <f t="shared" si="4"/>
        <v>0.97</v>
      </c>
      <c r="M13" s="13" t="str">
        <f t="shared" si="5"/>
        <v/>
      </c>
      <c r="N13" s="1" t="s">
        <v>41</v>
      </c>
    </row>
    <row r="14" spans="1:14" x14ac:dyDescent="0.25">
      <c r="A14" s="19">
        <v>46091</v>
      </c>
      <c r="B14" s="1" t="s">
        <v>36</v>
      </c>
      <c r="C14" s="1" t="s">
        <v>37</v>
      </c>
      <c r="D14" s="1" t="s">
        <v>38</v>
      </c>
      <c r="E14" s="1" t="s">
        <v>19</v>
      </c>
      <c r="F14" s="1" t="s">
        <v>20</v>
      </c>
      <c r="G14" s="1">
        <v>5</v>
      </c>
      <c r="H14" s="6" t="str">
        <f t="shared" si="0"/>
        <v>0</v>
      </c>
      <c r="I14" s="6" t="str">
        <f t="shared" si="1"/>
        <v>0</v>
      </c>
      <c r="J14" s="6" t="str">
        <f t="shared" si="2"/>
        <v>0</v>
      </c>
      <c r="K14" s="13" t="str">
        <f t="shared" si="3"/>
        <v/>
      </c>
      <c r="L14" s="6" t="str">
        <f t="shared" si="4"/>
        <v/>
      </c>
      <c r="M14" s="13">
        <f t="shared" si="5"/>
        <v>1</v>
      </c>
      <c r="N14" s="1" t="s">
        <v>42</v>
      </c>
    </row>
    <row r="15" spans="1:14" x14ac:dyDescent="0.25">
      <c r="A15" s="19">
        <v>46095</v>
      </c>
      <c r="B15" s="1" t="s">
        <v>36</v>
      </c>
      <c r="C15" s="1" t="s">
        <v>37</v>
      </c>
      <c r="D15" s="1" t="s">
        <v>43</v>
      </c>
      <c r="E15" s="1" t="s">
        <v>11</v>
      </c>
      <c r="F15" s="1" t="s">
        <v>44</v>
      </c>
      <c r="G15" s="1">
        <v>4</v>
      </c>
      <c r="H15" s="6" t="str">
        <f t="shared" si="0"/>
        <v>0</v>
      </c>
      <c r="I15" s="6" t="str">
        <f t="shared" si="1"/>
        <v>0</v>
      </c>
      <c r="J15" s="6">
        <f t="shared" si="2"/>
        <v>1</v>
      </c>
      <c r="K15" s="13">
        <f t="shared" si="3"/>
        <v>-1</v>
      </c>
      <c r="L15" s="6" t="str">
        <f t="shared" si="4"/>
        <v/>
      </c>
      <c r="M15" s="13" t="str">
        <f t="shared" si="5"/>
        <v/>
      </c>
      <c r="N15" s="1" t="s">
        <v>45</v>
      </c>
    </row>
    <row r="16" spans="1:14" x14ac:dyDescent="0.25">
      <c r="A16" s="19">
        <v>46101</v>
      </c>
      <c r="B16" s="1" t="s">
        <v>36</v>
      </c>
      <c r="C16" s="1" t="s">
        <v>37</v>
      </c>
      <c r="D16" s="1" t="s">
        <v>40</v>
      </c>
      <c r="E16" s="1" t="s">
        <v>19</v>
      </c>
      <c r="F16" s="1" t="s">
        <v>20</v>
      </c>
      <c r="G16" s="1">
        <v>4</v>
      </c>
      <c r="H16" s="6" t="str">
        <f t="shared" si="0"/>
        <v>0</v>
      </c>
      <c r="I16" s="6" t="str">
        <f t="shared" si="1"/>
        <v>0</v>
      </c>
      <c r="J16" s="6" t="str">
        <f t="shared" si="2"/>
        <v>0</v>
      </c>
      <c r="K16" s="13" t="str">
        <f t="shared" si="3"/>
        <v/>
      </c>
      <c r="L16" s="6" t="str">
        <f t="shared" si="4"/>
        <v/>
      </c>
      <c r="M16" s="13">
        <f t="shared" si="5"/>
        <v>1</v>
      </c>
      <c r="N16" s="1" t="s">
        <v>46</v>
      </c>
    </row>
    <row r="17" spans="1:14" x14ac:dyDescent="0.25">
      <c r="A17" s="19">
        <v>46116</v>
      </c>
      <c r="B17" s="1" t="s">
        <v>47</v>
      </c>
      <c r="C17" s="1" t="s">
        <v>48</v>
      </c>
      <c r="D17" s="1" t="s">
        <v>49</v>
      </c>
      <c r="E17" s="1" t="s">
        <v>11</v>
      </c>
      <c r="F17" s="1" t="s">
        <v>12</v>
      </c>
      <c r="G17" s="1">
        <v>10</v>
      </c>
      <c r="H17" s="6">
        <f t="shared" si="0"/>
        <v>1</v>
      </c>
      <c r="I17" s="6" t="str">
        <f t="shared" si="1"/>
        <v>0</v>
      </c>
      <c r="J17" s="6" t="str">
        <f t="shared" si="2"/>
        <v>0</v>
      </c>
      <c r="K17" s="13">
        <f t="shared" si="3"/>
        <v>1</v>
      </c>
      <c r="L17" s="6" t="str">
        <f t="shared" si="4"/>
        <v/>
      </c>
      <c r="M17" s="13" t="str">
        <f t="shared" si="5"/>
        <v/>
      </c>
      <c r="N17" s="1" t="s">
        <v>50</v>
      </c>
    </row>
    <row r="18" spans="1:14" x14ac:dyDescent="0.25">
      <c r="A18" s="19">
        <v>46120</v>
      </c>
      <c r="B18" s="1" t="s">
        <v>47</v>
      </c>
      <c r="C18" s="1" t="s">
        <v>48</v>
      </c>
      <c r="D18" s="1" t="s">
        <v>51</v>
      </c>
      <c r="E18" s="1" t="s">
        <v>15</v>
      </c>
      <c r="F18" s="1" t="s">
        <v>16</v>
      </c>
      <c r="G18" s="1">
        <v>95</v>
      </c>
      <c r="H18" s="6" t="str">
        <f t="shared" si="0"/>
        <v>0</v>
      </c>
      <c r="I18" s="6" t="str">
        <f t="shared" si="1"/>
        <v>0</v>
      </c>
      <c r="J18" s="6" t="str">
        <f t="shared" si="2"/>
        <v>0</v>
      </c>
      <c r="K18" s="13" t="str">
        <f t="shared" si="3"/>
        <v/>
      </c>
      <c r="L18" s="6">
        <f t="shared" si="4"/>
        <v>0.95000000000000007</v>
      </c>
      <c r="M18" s="13" t="str">
        <f t="shared" si="5"/>
        <v/>
      </c>
      <c r="N18" s="1" t="s">
        <v>52</v>
      </c>
    </row>
    <row r="19" spans="1:14" x14ac:dyDescent="0.25">
      <c r="A19" s="19">
        <v>46125</v>
      </c>
      <c r="B19" s="1" t="s">
        <v>47</v>
      </c>
      <c r="C19" s="1" t="s">
        <v>48</v>
      </c>
      <c r="D19" s="1" t="s">
        <v>49</v>
      </c>
      <c r="E19" s="1" t="s">
        <v>19</v>
      </c>
      <c r="F19" s="1" t="s">
        <v>20</v>
      </c>
      <c r="G19" s="1">
        <v>5</v>
      </c>
      <c r="H19" s="6" t="str">
        <f t="shared" si="0"/>
        <v>0</v>
      </c>
      <c r="I19" s="6" t="str">
        <f t="shared" si="1"/>
        <v>0</v>
      </c>
      <c r="J19" s="6" t="str">
        <f t="shared" si="2"/>
        <v>0</v>
      </c>
      <c r="K19" s="13" t="str">
        <f t="shared" si="3"/>
        <v/>
      </c>
      <c r="L19" s="6" t="str">
        <f t="shared" si="4"/>
        <v/>
      </c>
      <c r="M19" s="13">
        <f t="shared" si="5"/>
        <v>1</v>
      </c>
      <c r="N19" s="1" t="s">
        <v>53</v>
      </c>
    </row>
    <row r="20" spans="1:14" x14ac:dyDescent="0.25">
      <c r="A20" s="19">
        <v>46131</v>
      </c>
      <c r="B20" s="1" t="s">
        <v>47</v>
      </c>
      <c r="C20" s="1" t="s">
        <v>48</v>
      </c>
      <c r="D20" s="1" t="s">
        <v>54</v>
      </c>
      <c r="E20" s="1" t="s">
        <v>11</v>
      </c>
      <c r="F20" s="1" t="s">
        <v>33</v>
      </c>
      <c r="G20" s="1">
        <v>8</v>
      </c>
      <c r="H20" s="6" t="str">
        <f t="shared" si="0"/>
        <v>0</v>
      </c>
      <c r="I20" s="6">
        <f t="shared" si="1"/>
        <v>1</v>
      </c>
      <c r="J20" s="6" t="str">
        <f t="shared" si="2"/>
        <v>0</v>
      </c>
      <c r="K20" s="13">
        <f t="shared" si="3"/>
        <v>0</v>
      </c>
      <c r="L20" s="6" t="str">
        <f t="shared" si="4"/>
        <v/>
      </c>
      <c r="M20" s="13" t="str">
        <f t="shared" si="5"/>
        <v/>
      </c>
      <c r="N20" s="1" t="s">
        <v>55</v>
      </c>
    </row>
    <row r="21" spans="1:14" x14ac:dyDescent="0.25">
      <c r="A21" s="19">
        <v>46139</v>
      </c>
      <c r="B21" s="1" t="s">
        <v>47</v>
      </c>
      <c r="C21" s="1" t="s">
        <v>48</v>
      </c>
      <c r="D21" s="1" t="s">
        <v>51</v>
      </c>
      <c r="E21" s="1" t="s">
        <v>19</v>
      </c>
      <c r="F21" s="1" t="s">
        <v>20</v>
      </c>
      <c r="G21" s="1">
        <v>4</v>
      </c>
      <c r="H21" s="6" t="str">
        <f t="shared" si="0"/>
        <v>0</v>
      </c>
      <c r="I21" s="6" t="str">
        <f t="shared" si="1"/>
        <v>0</v>
      </c>
      <c r="J21" s="6" t="str">
        <f t="shared" si="2"/>
        <v>0</v>
      </c>
      <c r="K21" s="13" t="str">
        <f t="shared" si="3"/>
        <v/>
      </c>
      <c r="L21" s="6" t="str">
        <f t="shared" si="4"/>
        <v/>
      </c>
      <c r="M21" s="13">
        <f t="shared" si="5"/>
        <v>1</v>
      </c>
      <c r="N21" s="1" t="s">
        <v>56</v>
      </c>
    </row>
    <row r="22" spans="1:14" x14ac:dyDescent="0.25">
      <c r="A22" s="19">
        <v>46148</v>
      </c>
      <c r="B22" s="1" t="s">
        <v>57</v>
      </c>
      <c r="C22" s="1" t="s">
        <v>58</v>
      </c>
      <c r="D22" s="1" t="s">
        <v>59</v>
      </c>
      <c r="E22" s="1" t="s">
        <v>11</v>
      </c>
      <c r="F22" s="1" t="s">
        <v>12</v>
      </c>
      <c r="G22" s="1">
        <v>9</v>
      </c>
      <c r="H22" s="6">
        <f t="shared" si="0"/>
        <v>1</v>
      </c>
      <c r="I22" s="6" t="str">
        <f t="shared" si="1"/>
        <v>0</v>
      </c>
      <c r="J22" s="6" t="str">
        <f t="shared" si="2"/>
        <v>0</v>
      </c>
      <c r="K22" s="13">
        <f t="shared" si="3"/>
        <v>1</v>
      </c>
      <c r="L22" s="6" t="str">
        <f t="shared" si="4"/>
        <v/>
      </c>
      <c r="M22" s="13" t="str">
        <f t="shared" si="5"/>
        <v/>
      </c>
      <c r="N22" s="1" t="s">
        <v>60</v>
      </c>
    </row>
    <row r="23" spans="1:14" x14ac:dyDescent="0.25">
      <c r="A23" s="19">
        <v>46151</v>
      </c>
      <c r="B23" s="1" t="s">
        <v>57</v>
      </c>
      <c r="C23" s="1" t="s">
        <v>58</v>
      </c>
      <c r="D23" s="1" t="s">
        <v>61</v>
      </c>
      <c r="E23" s="1" t="s">
        <v>15</v>
      </c>
      <c r="F23" s="1" t="s">
        <v>16</v>
      </c>
      <c r="G23" s="1">
        <v>93</v>
      </c>
      <c r="H23" s="6" t="str">
        <f t="shared" si="0"/>
        <v>0</v>
      </c>
      <c r="I23" s="6" t="str">
        <f t="shared" si="1"/>
        <v>0</v>
      </c>
      <c r="J23" s="6" t="str">
        <f t="shared" si="2"/>
        <v>0</v>
      </c>
      <c r="K23" s="13" t="str">
        <f t="shared" si="3"/>
        <v/>
      </c>
      <c r="L23" s="6">
        <f t="shared" si="4"/>
        <v>0.93</v>
      </c>
      <c r="M23" s="13" t="str">
        <f t="shared" si="5"/>
        <v/>
      </c>
      <c r="N23" s="1" t="s">
        <v>62</v>
      </c>
    </row>
    <row r="24" spans="1:14" x14ac:dyDescent="0.25">
      <c r="A24" s="19">
        <v>46157</v>
      </c>
      <c r="B24" s="1" t="s">
        <v>57</v>
      </c>
      <c r="C24" s="1" t="s">
        <v>58</v>
      </c>
      <c r="D24" s="1" t="s">
        <v>59</v>
      </c>
      <c r="E24" s="1" t="s">
        <v>19</v>
      </c>
      <c r="F24" s="1" t="s">
        <v>20</v>
      </c>
      <c r="G24" s="1">
        <v>5</v>
      </c>
      <c r="H24" s="6" t="str">
        <f t="shared" si="0"/>
        <v>0</v>
      </c>
      <c r="I24" s="6" t="str">
        <f t="shared" si="1"/>
        <v>0</v>
      </c>
      <c r="J24" s="6" t="str">
        <f t="shared" si="2"/>
        <v>0</v>
      </c>
      <c r="K24" s="13" t="str">
        <f t="shared" si="3"/>
        <v/>
      </c>
      <c r="L24" s="6" t="str">
        <f t="shared" si="4"/>
        <v/>
      </c>
      <c r="M24" s="13">
        <f t="shared" si="5"/>
        <v>1</v>
      </c>
      <c r="N24" s="1" t="s">
        <v>63</v>
      </c>
    </row>
    <row r="25" spans="1:14" x14ac:dyDescent="0.25">
      <c r="A25" s="19">
        <v>46164</v>
      </c>
      <c r="B25" s="1" t="s">
        <v>57</v>
      </c>
      <c r="C25" s="1" t="s">
        <v>58</v>
      </c>
      <c r="D25" s="1" t="s">
        <v>64</v>
      </c>
      <c r="E25" s="1" t="s">
        <v>11</v>
      </c>
      <c r="F25" s="1" t="s">
        <v>12</v>
      </c>
      <c r="G25" s="1">
        <v>10</v>
      </c>
      <c r="H25" s="6">
        <f t="shared" si="0"/>
        <v>1</v>
      </c>
      <c r="I25" s="6" t="str">
        <f t="shared" si="1"/>
        <v>0</v>
      </c>
      <c r="J25" s="6" t="str">
        <f t="shared" si="2"/>
        <v>0</v>
      </c>
      <c r="K25" s="13">
        <f t="shared" si="3"/>
        <v>1</v>
      </c>
      <c r="L25" s="6" t="str">
        <f t="shared" si="4"/>
        <v/>
      </c>
      <c r="M25" s="13" t="str">
        <f t="shared" si="5"/>
        <v/>
      </c>
      <c r="N25" s="1" t="s">
        <v>65</v>
      </c>
    </row>
    <row r="26" spans="1:14" x14ac:dyDescent="0.25">
      <c r="A26" s="19">
        <v>46170</v>
      </c>
      <c r="B26" s="1" t="s">
        <v>57</v>
      </c>
      <c r="C26" s="1" t="s">
        <v>58</v>
      </c>
      <c r="D26" s="1" t="s">
        <v>61</v>
      </c>
      <c r="E26" s="1" t="s">
        <v>19</v>
      </c>
      <c r="F26" s="1" t="s">
        <v>20</v>
      </c>
      <c r="G26" s="1">
        <v>5</v>
      </c>
      <c r="H26" s="6" t="str">
        <f t="shared" si="0"/>
        <v>0</v>
      </c>
      <c r="I26" s="6" t="str">
        <f t="shared" si="1"/>
        <v>0</v>
      </c>
      <c r="J26" s="6" t="str">
        <f t="shared" si="2"/>
        <v>0</v>
      </c>
      <c r="K26" s="13" t="str">
        <f t="shared" si="3"/>
        <v/>
      </c>
      <c r="L26" s="6" t="str">
        <f t="shared" si="4"/>
        <v/>
      </c>
      <c r="M26" s="13">
        <f t="shared" si="5"/>
        <v>1</v>
      </c>
      <c r="N26" s="1" t="s">
        <v>66</v>
      </c>
    </row>
    <row r="27" spans="1:14" x14ac:dyDescent="0.25">
      <c r="A27" s="19">
        <v>46176</v>
      </c>
      <c r="B27" s="1" t="s">
        <v>67</v>
      </c>
      <c r="C27" s="1" t="s">
        <v>68</v>
      </c>
      <c r="D27" s="1" t="s">
        <v>69</v>
      </c>
      <c r="E27" s="1" t="s">
        <v>11</v>
      </c>
      <c r="F27" s="1" t="s">
        <v>12</v>
      </c>
      <c r="G27" s="1">
        <v>9</v>
      </c>
      <c r="H27" s="6">
        <f t="shared" si="0"/>
        <v>1</v>
      </c>
      <c r="I27" s="6" t="str">
        <f t="shared" si="1"/>
        <v>0</v>
      </c>
      <c r="J27" s="6" t="str">
        <f t="shared" si="2"/>
        <v>0</v>
      </c>
      <c r="K27" s="13">
        <f t="shared" si="3"/>
        <v>1</v>
      </c>
      <c r="L27" s="6" t="str">
        <f t="shared" si="4"/>
        <v/>
      </c>
      <c r="M27" s="13" t="str">
        <f t="shared" si="5"/>
        <v/>
      </c>
      <c r="N27" s="1" t="s">
        <v>70</v>
      </c>
    </row>
    <row r="28" spans="1:14" x14ac:dyDescent="0.25">
      <c r="A28" s="19">
        <v>46180</v>
      </c>
      <c r="B28" s="1" t="s">
        <v>67</v>
      </c>
      <c r="C28" s="1" t="s">
        <v>68</v>
      </c>
      <c r="D28" s="1" t="s">
        <v>71</v>
      </c>
      <c r="E28" s="1" t="s">
        <v>15</v>
      </c>
      <c r="F28" s="1" t="s">
        <v>16</v>
      </c>
      <c r="G28" s="1">
        <v>96</v>
      </c>
      <c r="H28" s="6" t="str">
        <f t="shared" si="0"/>
        <v>0</v>
      </c>
      <c r="I28" s="6" t="str">
        <f t="shared" si="1"/>
        <v>0</v>
      </c>
      <c r="J28" s="6" t="str">
        <f t="shared" si="2"/>
        <v>0</v>
      </c>
      <c r="K28" s="13" t="str">
        <f t="shared" si="3"/>
        <v/>
      </c>
      <c r="L28" s="6">
        <f t="shared" si="4"/>
        <v>0.96</v>
      </c>
      <c r="M28" s="13" t="str">
        <f t="shared" si="5"/>
        <v/>
      </c>
      <c r="N28" s="1" t="s">
        <v>72</v>
      </c>
    </row>
    <row r="29" spans="1:14" x14ac:dyDescent="0.25">
      <c r="A29" s="19">
        <v>46185</v>
      </c>
      <c r="B29" s="1" t="s">
        <v>67</v>
      </c>
      <c r="C29" s="1" t="s">
        <v>68</v>
      </c>
      <c r="D29" s="1" t="s">
        <v>69</v>
      </c>
      <c r="E29" s="1" t="s">
        <v>19</v>
      </c>
      <c r="F29" s="1" t="s">
        <v>20</v>
      </c>
      <c r="G29" s="1">
        <v>5</v>
      </c>
      <c r="H29" s="6" t="str">
        <f t="shared" si="0"/>
        <v>0</v>
      </c>
      <c r="I29" s="6" t="str">
        <f t="shared" si="1"/>
        <v>0</v>
      </c>
      <c r="J29" s="6" t="str">
        <f t="shared" si="2"/>
        <v>0</v>
      </c>
      <c r="K29" s="13" t="str">
        <f t="shared" si="3"/>
        <v/>
      </c>
      <c r="L29" s="6" t="str">
        <f t="shared" si="4"/>
        <v/>
      </c>
      <c r="M29" s="13">
        <f t="shared" si="5"/>
        <v>1</v>
      </c>
      <c r="N29" s="1" t="s">
        <v>73</v>
      </c>
    </row>
    <row r="30" spans="1:14" x14ac:dyDescent="0.25">
      <c r="A30" s="19">
        <v>46191</v>
      </c>
      <c r="B30" s="1" t="s">
        <v>67</v>
      </c>
      <c r="C30" s="1" t="s">
        <v>68</v>
      </c>
      <c r="D30" s="1" t="s">
        <v>74</v>
      </c>
      <c r="E30" s="1" t="s">
        <v>11</v>
      </c>
      <c r="F30" s="1" t="s">
        <v>44</v>
      </c>
      <c r="G30" s="1">
        <v>3</v>
      </c>
      <c r="H30" s="6" t="str">
        <f t="shared" si="0"/>
        <v>0</v>
      </c>
      <c r="I30" s="6" t="str">
        <f t="shared" si="1"/>
        <v>0</v>
      </c>
      <c r="J30" s="6">
        <f t="shared" si="2"/>
        <v>1</v>
      </c>
      <c r="K30" s="13">
        <f t="shared" si="3"/>
        <v>-1</v>
      </c>
      <c r="L30" s="6" t="str">
        <f t="shared" si="4"/>
        <v/>
      </c>
      <c r="M30" s="13" t="str">
        <f t="shared" si="5"/>
        <v/>
      </c>
      <c r="N30" s="1" t="s">
        <v>75</v>
      </c>
    </row>
    <row r="31" spans="1:14" x14ac:dyDescent="0.25">
      <c r="A31" s="19">
        <v>46198</v>
      </c>
      <c r="B31" s="1" t="s">
        <v>67</v>
      </c>
      <c r="C31" s="1" t="s">
        <v>68</v>
      </c>
      <c r="D31" s="1" t="s">
        <v>71</v>
      </c>
      <c r="E31" s="1" t="s">
        <v>19</v>
      </c>
      <c r="F31" s="1" t="s">
        <v>20</v>
      </c>
      <c r="G31" s="1">
        <v>4</v>
      </c>
      <c r="H31" s="6" t="str">
        <f t="shared" si="0"/>
        <v>0</v>
      </c>
      <c r="I31" s="6" t="str">
        <f t="shared" si="1"/>
        <v>0</v>
      </c>
      <c r="J31" s="6" t="str">
        <f t="shared" si="2"/>
        <v>0</v>
      </c>
      <c r="K31" s="13" t="str">
        <f t="shared" si="3"/>
        <v/>
      </c>
      <c r="L31" s="6" t="str">
        <f t="shared" si="4"/>
        <v/>
      </c>
      <c r="M31" s="13">
        <f t="shared" si="5"/>
        <v>1</v>
      </c>
      <c r="N31" s="1" t="s">
        <v>76</v>
      </c>
    </row>
  </sheetData>
  <autoFilter ref="A1:N31" xr:uid="{427589CE-96AA-4CD0-9644-F18377B1CF1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SURVEY COUNT</vt:lpstr>
      <vt:lpstr>NPS</vt:lpstr>
      <vt:lpstr>RFT</vt:lpstr>
      <vt:lpstr>RSAT</vt:lpstr>
      <vt:lpstr>VERBATIM</vt: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 Altamarino</dc:creator>
  <cp:lastModifiedBy>JD Altamarino</cp:lastModifiedBy>
  <dcterms:created xsi:type="dcterms:W3CDTF">2026-09-09T05:17:13Z</dcterms:created>
  <dcterms:modified xsi:type="dcterms:W3CDTF">2026-09-09T09:57:20Z</dcterms:modified>
</cp:coreProperties>
</file>